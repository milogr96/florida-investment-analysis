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BABDD66B-452F-4342-9DE8-E859897CED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ity Research" sheetId="1" r:id="rId1"/>
    <sheet name="City Research (2)" sheetId="4" r:id="rId2"/>
    <sheet name="Pivot Tables" sheetId="7" r:id="rId3"/>
    <sheet name="Top 3 Counties for Invest" sheetId="14" r:id="rId4"/>
  </sheets>
  <definedNames>
    <definedName name="_xlnm._FilterDatabase" localSheetId="0" hidden="1">'City Research'!$A$41:$V$46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n0VmkiSqJo6XuzUM7K/QRpttAxXSrGSSi+wDbzpue0="/>
    </ext>
  </extLst>
</workbook>
</file>

<file path=xl/calcChain.xml><?xml version="1.0" encoding="utf-8"?>
<calcChain xmlns="http://schemas.openxmlformats.org/spreadsheetml/2006/main">
  <c r="E9" i="1" l="1"/>
  <c r="K31" i="7"/>
  <c r="J31" i="7"/>
  <c r="R117" i="1"/>
  <c r="Q117" i="1"/>
  <c r="Q95" i="1"/>
  <c r="Q83" i="1"/>
  <c r="Q61" i="1"/>
  <c r="P50" i="1"/>
  <c r="N59" i="1"/>
  <c r="F115" i="1"/>
  <c r="G115" i="1"/>
  <c r="H115" i="1"/>
  <c r="I115" i="1"/>
  <c r="K115" i="1"/>
  <c r="L115" i="1"/>
  <c r="Q115" i="1" s="1"/>
  <c r="M115" i="1"/>
  <c r="R115" i="1" s="1"/>
  <c r="N115" i="1"/>
  <c r="F104" i="1"/>
  <c r="G104" i="1"/>
  <c r="H104" i="1"/>
  <c r="I104" i="1"/>
  <c r="K104" i="1"/>
  <c r="L104" i="1"/>
  <c r="Q104" i="1" s="1"/>
  <c r="Q106" i="1" s="1"/>
  <c r="M104" i="1"/>
  <c r="N104" i="1"/>
  <c r="F93" i="1"/>
  <c r="G93" i="1"/>
  <c r="H93" i="1"/>
  <c r="I93" i="1"/>
  <c r="K93" i="1"/>
  <c r="L93" i="1"/>
  <c r="Q93" i="1" s="1"/>
  <c r="M93" i="1"/>
  <c r="R93" i="1" s="1"/>
  <c r="R95" i="1" s="1"/>
  <c r="N93" i="1"/>
  <c r="S93" i="1" s="1"/>
  <c r="S95" i="1" s="1"/>
  <c r="F81" i="1"/>
  <c r="G81" i="1"/>
  <c r="H81" i="1"/>
  <c r="I81" i="1"/>
  <c r="K81" i="1"/>
  <c r="P81" i="1" s="1"/>
  <c r="P83" i="1" s="1"/>
  <c r="L81" i="1"/>
  <c r="Q81" i="1" s="1"/>
  <c r="M81" i="1"/>
  <c r="N81" i="1"/>
  <c r="S81" i="1" s="1"/>
  <c r="S83" i="1" s="1"/>
  <c r="L70" i="1"/>
  <c r="M70" i="1"/>
  <c r="N70" i="1"/>
  <c r="F70" i="1"/>
  <c r="G70" i="1"/>
  <c r="H70" i="1"/>
  <c r="I70" i="1"/>
  <c r="K70" i="1"/>
  <c r="P70" i="1" s="1"/>
  <c r="P72" i="1" s="1"/>
  <c r="F59" i="1"/>
  <c r="G59" i="1"/>
  <c r="H59" i="1"/>
  <c r="I59" i="1"/>
  <c r="K59" i="1"/>
  <c r="P59" i="1" s="1"/>
  <c r="P61" i="1" s="1"/>
  <c r="L59" i="1"/>
  <c r="Q59" i="1" s="1"/>
  <c r="M59" i="1"/>
  <c r="F48" i="1"/>
  <c r="G48" i="1"/>
  <c r="H48" i="1"/>
  <c r="I48" i="1"/>
  <c r="K48" i="1"/>
  <c r="P48" i="1" s="1"/>
  <c r="L48" i="1"/>
  <c r="Q48" i="1" s="1"/>
  <c r="Q50" i="1" s="1"/>
  <c r="M48" i="1"/>
  <c r="R48" i="1" s="1"/>
  <c r="R50" i="1" s="1"/>
  <c r="N48" i="1"/>
  <c r="S48" i="1" s="1"/>
  <c r="S50" i="1" s="1"/>
  <c r="K36" i="1"/>
  <c r="L36" i="1"/>
  <c r="M36" i="1"/>
  <c r="N36" i="1"/>
  <c r="F36" i="1"/>
  <c r="G36" i="1"/>
  <c r="H36" i="1"/>
  <c r="I36" i="1"/>
  <c r="K25" i="1"/>
  <c r="L25" i="1"/>
  <c r="M25" i="1"/>
  <c r="N25" i="1"/>
  <c r="F25" i="1"/>
  <c r="G25" i="1"/>
  <c r="H25" i="1"/>
  <c r="I25" i="1"/>
  <c r="K14" i="1"/>
  <c r="L14" i="1"/>
  <c r="M14" i="1"/>
  <c r="N14" i="1"/>
  <c r="H14" i="1"/>
  <c r="I14" i="1"/>
  <c r="G14" i="1"/>
  <c r="F14" i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O12" i="4" a="1"/>
  <c r="O12" i="4" s="1"/>
  <c r="O31" i="4" a="1"/>
  <c r="O31" i="4" s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4" i="4"/>
  <c r="R4" i="4"/>
  <c r="Q4" i="4"/>
  <c r="P4" i="4"/>
  <c r="J53" i="4"/>
  <c r="E53" i="4"/>
  <c r="J52" i="4"/>
  <c r="E52" i="4"/>
  <c r="J51" i="4"/>
  <c r="E51" i="4"/>
  <c r="J50" i="4"/>
  <c r="E50" i="4"/>
  <c r="J49" i="4"/>
  <c r="E49" i="4"/>
  <c r="J48" i="4"/>
  <c r="E48" i="4"/>
  <c r="J47" i="4"/>
  <c r="E47" i="4"/>
  <c r="J46" i="4"/>
  <c r="O46" i="4" s="1" a="1"/>
  <c r="O46" i="4" s="1"/>
  <c r="J45" i="4"/>
  <c r="E45" i="4"/>
  <c r="J44" i="4"/>
  <c r="E44" i="4"/>
  <c r="J43" i="4"/>
  <c r="E43" i="4"/>
  <c r="J42" i="4"/>
  <c r="E42" i="4"/>
  <c r="J41" i="4"/>
  <c r="E41" i="4"/>
  <c r="J40" i="4"/>
  <c r="E40" i="4"/>
  <c r="J39" i="4"/>
  <c r="E39" i="4"/>
  <c r="J38" i="4"/>
  <c r="E38" i="4"/>
  <c r="J37" i="4"/>
  <c r="E37" i="4"/>
  <c r="J36" i="4"/>
  <c r="E36" i="4"/>
  <c r="J35" i="4"/>
  <c r="E35" i="4"/>
  <c r="J34" i="4"/>
  <c r="E34" i="4"/>
  <c r="J33" i="4"/>
  <c r="E33" i="4"/>
  <c r="J32" i="4"/>
  <c r="E32" i="4"/>
  <c r="J30" i="4"/>
  <c r="E30" i="4"/>
  <c r="J29" i="4"/>
  <c r="E29" i="4"/>
  <c r="J28" i="4"/>
  <c r="E28" i="4"/>
  <c r="J27" i="4"/>
  <c r="E27" i="4"/>
  <c r="J26" i="4"/>
  <c r="E26" i="4"/>
  <c r="J25" i="4"/>
  <c r="E25" i="4"/>
  <c r="J24" i="4"/>
  <c r="E24" i="4"/>
  <c r="J23" i="4"/>
  <c r="E23" i="4"/>
  <c r="J22" i="4"/>
  <c r="E22" i="4"/>
  <c r="J21" i="4"/>
  <c r="E21" i="4"/>
  <c r="J20" i="4"/>
  <c r="E20" i="4"/>
  <c r="J19" i="4"/>
  <c r="E19" i="4"/>
  <c r="J18" i="4"/>
  <c r="E18" i="4"/>
  <c r="J17" i="4"/>
  <c r="E17" i="4"/>
  <c r="J16" i="4"/>
  <c r="E16" i="4"/>
  <c r="J15" i="4"/>
  <c r="E15" i="4"/>
  <c r="J14" i="4"/>
  <c r="E14" i="4"/>
  <c r="J13" i="4"/>
  <c r="E13" i="4"/>
  <c r="J11" i="4"/>
  <c r="E11" i="4"/>
  <c r="J10" i="4"/>
  <c r="E10" i="4"/>
  <c r="J9" i="4"/>
  <c r="E9" i="4"/>
  <c r="J8" i="4"/>
  <c r="E8" i="4"/>
  <c r="J7" i="4"/>
  <c r="E7" i="4"/>
  <c r="J6" i="4"/>
  <c r="E6" i="4"/>
  <c r="J5" i="4"/>
  <c r="E5" i="4"/>
  <c r="J4" i="4"/>
  <c r="E4" i="4"/>
  <c r="J20" i="1"/>
  <c r="J21" i="1"/>
  <c r="J22" i="1"/>
  <c r="J23" i="1"/>
  <c r="J19" i="1"/>
  <c r="J31" i="1"/>
  <c r="J32" i="1"/>
  <c r="J33" i="1"/>
  <c r="J34" i="1"/>
  <c r="J30" i="1"/>
  <c r="J65" i="1"/>
  <c r="J66" i="1"/>
  <c r="J67" i="1"/>
  <c r="J68" i="1"/>
  <c r="J64" i="1"/>
  <c r="J76" i="1"/>
  <c r="J77" i="1"/>
  <c r="J78" i="1"/>
  <c r="J79" i="1"/>
  <c r="J75" i="1"/>
  <c r="E110" i="1"/>
  <c r="E111" i="1"/>
  <c r="E112" i="1"/>
  <c r="E113" i="1"/>
  <c r="E109" i="1"/>
  <c r="J110" i="1"/>
  <c r="J111" i="1"/>
  <c r="J112" i="1"/>
  <c r="J113" i="1"/>
  <c r="J109" i="1"/>
  <c r="J99" i="1"/>
  <c r="J100" i="1"/>
  <c r="J101" i="1"/>
  <c r="J102" i="1"/>
  <c r="J98" i="1"/>
  <c r="J87" i="1"/>
  <c r="J88" i="1"/>
  <c r="J89" i="1"/>
  <c r="J90" i="1"/>
  <c r="J86" i="1"/>
  <c r="E99" i="1"/>
  <c r="E100" i="1"/>
  <c r="E101" i="1"/>
  <c r="E102" i="1"/>
  <c r="E98" i="1"/>
  <c r="E87" i="1"/>
  <c r="E88" i="1"/>
  <c r="E89" i="1"/>
  <c r="E90" i="1"/>
  <c r="E86" i="1"/>
  <c r="E76" i="1"/>
  <c r="E77" i="1"/>
  <c r="E78" i="1"/>
  <c r="E79" i="1"/>
  <c r="E75" i="1"/>
  <c r="E65" i="1"/>
  <c r="E66" i="1"/>
  <c r="E67" i="1"/>
  <c r="E68" i="1"/>
  <c r="E64" i="1"/>
  <c r="J8" i="1"/>
  <c r="J10" i="1"/>
  <c r="J12" i="1"/>
  <c r="J11" i="1"/>
  <c r="J9" i="1"/>
  <c r="J54" i="1"/>
  <c r="J55" i="1"/>
  <c r="J56" i="1"/>
  <c r="J57" i="1"/>
  <c r="J53" i="1"/>
  <c r="E54" i="1"/>
  <c r="E55" i="1"/>
  <c r="E56" i="1"/>
  <c r="E57" i="1"/>
  <c r="E53" i="1"/>
  <c r="J43" i="1"/>
  <c r="J45" i="1"/>
  <c r="J46" i="1"/>
  <c r="J44" i="1"/>
  <c r="J42" i="1"/>
  <c r="E31" i="1"/>
  <c r="E32" i="1"/>
  <c r="E33" i="1"/>
  <c r="E34" i="1"/>
  <c r="E30" i="1"/>
  <c r="E23" i="1"/>
  <c r="E20" i="1"/>
  <c r="E21" i="1"/>
  <c r="E22" i="1"/>
  <c r="E19" i="1"/>
  <c r="E43" i="1"/>
  <c r="E45" i="1"/>
  <c r="E46" i="1"/>
  <c r="E44" i="1"/>
  <c r="E42" i="1"/>
  <c r="E8" i="1"/>
  <c r="E10" i="1"/>
  <c r="E12" i="1"/>
  <c r="E11" i="1"/>
  <c r="S113" i="1"/>
  <c r="R113" i="1"/>
  <c r="Q113" i="1"/>
  <c r="S112" i="1"/>
  <c r="R112" i="1"/>
  <c r="Q112" i="1"/>
  <c r="P112" i="1"/>
  <c r="S111" i="1"/>
  <c r="Q111" i="1"/>
  <c r="P111" i="1"/>
  <c r="S110" i="1"/>
  <c r="R110" i="1"/>
  <c r="Q110" i="1"/>
  <c r="P110" i="1"/>
  <c r="S109" i="1"/>
  <c r="R109" i="1"/>
  <c r="Q109" i="1"/>
  <c r="P109" i="1"/>
  <c r="Q102" i="1"/>
  <c r="P102" i="1"/>
  <c r="S101" i="1"/>
  <c r="Q101" i="1"/>
  <c r="P101" i="1"/>
  <c r="Q99" i="1"/>
  <c r="P99" i="1"/>
  <c r="S98" i="1"/>
  <c r="R98" i="1"/>
  <c r="Q98" i="1"/>
  <c r="P98" i="1"/>
  <c r="S90" i="1"/>
  <c r="R90" i="1"/>
  <c r="Q90" i="1"/>
  <c r="P90" i="1"/>
  <c r="S89" i="1"/>
  <c r="R89" i="1"/>
  <c r="Q89" i="1"/>
  <c r="P89" i="1"/>
  <c r="S88" i="1"/>
  <c r="R88" i="1"/>
  <c r="Q88" i="1"/>
  <c r="P88" i="1"/>
  <c r="S87" i="1"/>
  <c r="R87" i="1"/>
  <c r="Q87" i="1"/>
  <c r="P87" i="1"/>
  <c r="S86" i="1"/>
  <c r="R86" i="1"/>
  <c r="Q86" i="1"/>
  <c r="P86" i="1"/>
  <c r="S79" i="1"/>
  <c r="R79" i="1"/>
  <c r="Q79" i="1"/>
  <c r="P79" i="1"/>
  <c r="S78" i="1"/>
  <c r="R78" i="1"/>
  <c r="Q78" i="1"/>
  <c r="P78" i="1"/>
  <c r="S77" i="1"/>
  <c r="R77" i="1"/>
  <c r="Q77" i="1"/>
  <c r="P77" i="1"/>
  <c r="S76" i="1"/>
  <c r="R76" i="1"/>
  <c r="Q76" i="1"/>
  <c r="P76" i="1"/>
  <c r="S75" i="1"/>
  <c r="R75" i="1"/>
  <c r="Q75" i="1"/>
  <c r="P75" i="1"/>
  <c r="S68" i="1"/>
  <c r="R68" i="1"/>
  <c r="P68" i="1"/>
  <c r="S67" i="1"/>
  <c r="R67" i="1"/>
  <c r="P67" i="1"/>
  <c r="S65" i="1"/>
  <c r="R65" i="1"/>
  <c r="Q65" i="1"/>
  <c r="P65" i="1"/>
  <c r="S64" i="1"/>
  <c r="R64" i="1"/>
  <c r="Q64" i="1"/>
  <c r="P64" i="1"/>
  <c r="S57" i="1"/>
  <c r="R57" i="1"/>
  <c r="Q57" i="1"/>
  <c r="P57" i="1"/>
  <c r="Q56" i="1"/>
  <c r="P56" i="1"/>
  <c r="S55" i="1"/>
  <c r="R55" i="1"/>
  <c r="Q55" i="1"/>
  <c r="P55" i="1"/>
  <c r="Q54" i="1"/>
  <c r="S53" i="1"/>
  <c r="R53" i="1"/>
  <c r="Q53" i="1"/>
  <c r="P53" i="1"/>
  <c r="S44" i="1"/>
  <c r="R44" i="1"/>
  <c r="Q44" i="1"/>
  <c r="P44" i="1"/>
  <c r="Q46" i="1"/>
  <c r="P46" i="1"/>
  <c r="S45" i="1"/>
  <c r="R45" i="1"/>
  <c r="Q45" i="1"/>
  <c r="P45" i="1"/>
  <c r="S43" i="1"/>
  <c r="R43" i="1"/>
  <c r="Q43" i="1"/>
  <c r="P43" i="1"/>
  <c r="S42" i="1"/>
  <c r="R42" i="1"/>
  <c r="Q42" i="1"/>
  <c r="P42" i="1"/>
  <c r="S34" i="1"/>
  <c r="R34" i="1"/>
  <c r="Q34" i="1"/>
  <c r="P34" i="1"/>
  <c r="S33" i="1"/>
  <c r="R33" i="1"/>
  <c r="Q33" i="1"/>
  <c r="P33" i="1"/>
  <c r="S32" i="1"/>
  <c r="R32" i="1"/>
  <c r="Q32" i="1"/>
  <c r="P32" i="1"/>
  <c r="S31" i="1"/>
  <c r="R31" i="1"/>
  <c r="Q31" i="1"/>
  <c r="P31" i="1"/>
  <c r="S30" i="1"/>
  <c r="R30" i="1"/>
  <c r="Q30" i="1"/>
  <c r="P30" i="1"/>
  <c r="S23" i="1"/>
  <c r="R23" i="1"/>
  <c r="Q23" i="1"/>
  <c r="P23" i="1"/>
  <c r="S21" i="1"/>
  <c r="R21" i="1"/>
  <c r="Q21" i="1"/>
  <c r="P21" i="1"/>
  <c r="S20" i="1"/>
  <c r="R20" i="1"/>
  <c r="Q20" i="1"/>
  <c r="P20" i="1"/>
  <c r="S19" i="1"/>
  <c r="R19" i="1"/>
  <c r="Q19" i="1"/>
  <c r="P19" i="1"/>
  <c r="S11" i="1"/>
  <c r="R11" i="1"/>
  <c r="Q11" i="1"/>
  <c r="P11" i="1"/>
  <c r="S12" i="1"/>
  <c r="R12" i="1"/>
  <c r="Q12" i="1"/>
  <c r="P12" i="1"/>
  <c r="S10" i="1"/>
  <c r="R10" i="1"/>
  <c r="Q10" i="1"/>
  <c r="P10" i="1"/>
  <c r="S8" i="1"/>
  <c r="R8" i="1"/>
  <c r="Q8" i="1"/>
  <c r="P8" i="1"/>
  <c r="S9" i="1"/>
  <c r="R9" i="1"/>
  <c r="Q9" i="1"/>
  <c r="P9" i="1"/>
  <c r="O47" i="4" l="1" a="1"/>
  <c r="O47" i="4" s="1"/>
  <c r="O51" i="4" a="1"/>
  <c r="O51" i="4" s="1"/>
  <c r="O53" i="4" a="1"/>
  <c r="O53" i="4" s="1"/>
  <c r="O17" i="4" a="1"/>
  <c r="O17" i="4" s="1"/>
  <c r="O21" i="4" a="1"/>
  <c r="O21" i="4" s="1"/>
  <c r="O25" i="4" a="1"/>
  <c r="O25" i="4" s="1"/>
  <c r="P93" i="1"/>
  <c r="P95" i="1" s="1"/>
  <c r="O35" i="4" a="1"/>
  <c r="O35" i="4" s="1"/>
  <c r="O37" i="4" a="1"/>
  <c r="O37" i="4" s="1"/>
  <c r="O39" i="4" a="1"/>
  <c r="O39" i="4" s="1"/>
  <c r="O41" i="4" a="1"/>
  <c r="O41" i="4" s="1"/>
  <c r="O43" i="4" a="1"/>
  <c r="O43" i="4" s="1"/>
  <c r="O45" i="4" a="1"/>
  <c r="O45" i="4" s="1"/>
  <c r="O49" i="4" a="1"/>
  <c r="O49" i="4" s="1"/>
  <c r="O7" i="4" a="1"/>
  <c r="O7" i="4" s="1"/>
  <c r="O11" i="4" a="1"/>
  <c r="O11" i="4" s="1"/>
  <c r="O14" i="4" a="1"/>
  <c r="O14" i="4" s="1"/>
  <c r="O16" i="4" a="1"/>
  <c r="O16" i="4" s="1"/>
  <c r="O20" i="4" a="1"/>
  <c r="O20" i="4" s="1"/>
  <c r="O22" i="4" a="1"/>
  <c r="O22" i="4" s="1"/>
  <c r="O24" i="4" a="1"/>
  <c r="O24" i="4" s="1"/>
  <c r="O26" i="4" a="1"/>
  <c r="O26" i="4" s="1"/>
  <c r="O28" i="4" a="1"/>
  <c r="O28" i="4" s="1"/>
  <c r="O30" i="4" a="1"/>
  <c r="O30" i="4" s="1"/>
  <c r="O33" i="4" a="1"/>
  <c r="O33" i="4" s="1"/>
  <c r="O5" i="4" a="1"/>
  <c r="O5" i="4" s="1"/>
  <c r="O9" i="4" a="1"/>
  <c r="O9" i="4" s="1"/>
  <c r="O18" i="4" a="1"/>
  <c r="O18" i="4" s="1"/>
  <c r="O4" i="4" a="1"/>
  <c r="O4" i="4" s="1"/>
  <c r="O8" i="4" a="1"/>
  <c r="O8" i="4" s="1"/>
  <c r="O13" i="4" a="1"/>
  <c r="O13" i="4" s="1"/>
  <c r="O29" i="4" a="1"/>
  <c r="O29" i="4" s="1"/>
  <c r="O32" i="4" a="1"/>
  <c r="O32" i="4" s="1"/>
  <c r="O36" i="4" a="1"/>
  <c r="O36" i="4" s="1"/>
  <c r="O40" i="4" a="1"/>
  <c r="O40" i="4" s="1"/>
  <c r="O44" i="4" a="1"/>
  <c r="O44" i="4" s="1"/>
  <c r="O48" i="4" a="1"/>
  <c r="O48" i="4" s="1"/>
  <c r="O50" i="4" a="1"/>
  <c r="O50" i="4" s="1"/>
  <c r="O52" i="4" a="1"/>
  <c r="O52" i="4" s="1"/>
  <c r="O6" i="4" a="1"/>
  <c r="O6" i="4" s="1"/>
  <c r="O10" i="4" a="1"/>
  <c r="O10" i="4" s="1"/>
  <c r="O15" i="4" a="1"/>
  <c r="O15" i="4" s="1"/>
  <c r="O19" i="4" a="1"/>
  <c r="O19" i="4" s="1"/>
  <c r="O23" i="4" a="1"/>
  <c r="O23" i="4" s="1"/>
  <c r="O27" i="4" a="1"/>
  <c r="O27" i="4" s="1"/>
  <c r="O34" i="4" a="1"/>
  <c r="O34" i="4" s="1"/>
  <c r="O38" i="4" a="1"/>
  <c r="O38" i="4" s="1"/>
  <c r="O42" i="4" a="1"/>
  <c r="O42" i="4" s="1"/>
  <c r="P115" i="1"/>
  <c r="P117" i="1" s="1"/>
  <c r="S115" i="1"/>
  <c r="S117" i="1" s="1"/>
  <c r="R81" i="1"/>
  <c r="R83" i="1" s="1"/>
  <c r="R104" i="1"/>
  <c r="R106" i="1" s="1"/>
  <c r="R59" i="1"/>
  <c r="R61" i="1" s="1"/>
  <c r="S59" i="1"/>
  <c r="S61" i="1" s="1"/>
  <c r="Q36" i="1"/>
  <c r="Q38" i="1" s="1"/>
  <c r="P104" i="1"/>
  <c r="P106" i="1" s="1"/>
  <c r="E104" i="1"/>
  <c r="E115" i="1"/>
  <c r="R36" i="1"/>
  <c r="R38" i="1" s="1"/>
  <c r="R70" i="1"/>
  <c r="R72" i="1" s="1"/>
  <c r="Q70" i="1"/>
  <c r="Q72" i="1" s="1"/>
  <c r="J104" i="1"/>
  <c r="P36" i="1"/>
  <c r="P38" i="1" s="1"/>
  <c r="S104" i="1"/>
  <c r="S106" i="1" s="1"/>
  <c r="J115" i="1"/>
  <c r="S36" i="1"/>
  <c r="S38" i="1" s="1"/>
  <c r="S70" i="1"/>
  <c r="S72" i="1" s="1"/>
  <c r="J93" i="1"/>
  <c r="E93" i="1"/>
  <c r="J81" i="1"/>
  <c r="E81" i="1"/>
  <c r="E70" i="1"/>
  <c r="J70" i="1"/>
  <c r="E59" i="1"/>
  <c r="J59" i="1"/>
  <c r="J48" i="1"/>
  <c r="E48" i="1"/>
  <c r="E36" i="1"/>
  <c r="O43" i="1"/>
  <c r="O20" i="1"/>
  <c r="O101" i="1"/>
  <c r="O64" i="1"/>
  <c r="O65" i="1"/>
  <c r="P14" i="1"/>
  <c r="P16" i="1" s="1"/>
  <c r="P25" i="1"/>
  <c r="P27" i="1" s="1"/>
  <c r="J36" i="1"/>
  <c r="O36" i="1" s="1"/>
  <c r="O38" i="1" s="1"/>
  <c r="S14" i="1"/>
  <c r="S16" i="1" s="1"/>
  <c r="E25" i="1"/>
  <c r="S25" i="1"/>
  <c r="S27" i="1" s="1"/>
  <c r="J25" i="1"/>
  <c r="Q14" i="1"/>
  <c r="Q16" i="1" s="1"/>
  <c r="R14" i="1"/>
  <c r="R16" i="1" s="1"/>
  <c r="R25" i="1"/>
  <c r="R27" i="1" s="1"/>
  <c r="Q25" i="1"/>
  <c r="Q27" i="1" s="1"/>
  <c r="O32" i="1"/>
  <c r="O45" i="1"/>
  <c r="J14" i="1"/>
  <c r="O8" i="1"/>
  <c r="O99" i="1"/>
  <c r="O88" i="1"/>
  <c r="O12" i="1"/>
  <c r="O55" i="1"/>
  <c r="O112" i="1"/>
  <c r="O75" i="1"/>
  <c r="E14" i="1"/>
  <c r="O44" i="1"/>
  <c r="O46" i="1"/>
  <c r="O54" i="1"/>
  <c r="O10" i="1"/>
  <c r="O87" i="1"/>
  <c r="O89" i="1"/>
  <c r="O110" i="1"/>
  <c r="O111" i="1"/>
  <c r="O30" i="1"/>
  <c r="O31" i="1"/>
  <c r="O21" i="1"/>
  <c r="O56" i="1"/>
  <c r="O42" i="1"/>
  <c r="O77" i="1"/>
  <c r="O76" i="1"/>
  <c r="O78" i="1"/>
  <c r="O86" i="1"/>
  <c r="O33" i="1"/>
  <c r="O53" i="1"/>
  <c r="O67" i="1"/>
  <c r="O109" i="1"/>
  <c r="O113" i="1"/>
  <c r="O19" i="1"/>
  <c r="O23" i="1"/>
  <c r="O90" i="1"/>
  <c r="O98" i="1"/>
  <c r="O34" i="1"/>
  <c r="O68" i="1"/>
  <c r="O79" i="1"/>
  <c r="O102" i="1"/>
  <c r="O11" i="1"/>
  <c r="O9" i="1"/>
  <c r="O57" i="1"/>
  <c r="O104" i="1" l="1"/>
  <c r="O106" i="1" s="1"/>
  <c r="O115" i="1"/>
  <c r="O117" i="1" s="1"/>
  <c r="O70" i="1"/>
  <c r="O72" i="1" s="1"/>
  <c r="O59" i="1"/>
  <c r="O61" i="1" s="1"/>
  <c r="O93" i="1"/>
  <c r="O95" i="1" s="1"/>
  <c r="O48" i="1"/>
  <c r="O50" i="1" s="1"/>
  <c r="O81" i="1"/>
  <c r="O83" i="1" s="1"/>
  <c r="O25" i="1"/>
  <c r="O27" i="1" s="1"/>
  <c r="O14" i="1"/>
  <c r="O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6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ID#AAABOlgqOJI
    (2024-05-23 15:05:10)
Its not in the best places website</t>
        </r>
      </text>
    </comment>
    <comment ref="T6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ID#AAABOlgqOJM
    (2024-05-23 15:05:10)
Its not in the best places website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8W+0Mt6/GaEW6DMEIjiajRXxP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31" authorId="0" shapeId="0" xr:uid="{4F830416-6A8C-4822-BD52-52B6C14EFAEB}">
      <text>
        <r>
          <rPr>
            <sz val="10"/>
            <color rgb="FF000000"/>
            <rFont val="Arial"/>
            <scheme val="minor"/>
          </rPr>
          <t>======
ID#AAABOlgqOJI
    (2024-05-23 15:05:10)
Its not in the best places website</t>
        </r>
      </text>
    </comment>
    <comment ref="T33" authorId="0" shapeId="0" xr:uid="{12401A54-1B4B-450A-8C96-80906096C6B4}">
      <text>
        <r>
          <rPr>
            <sz val="10"/>
            <color rgb="FF000000"/>
            <rFont val="Arial"/>
            <scheme val="minor"/>
          </rPr>
          <t>======
ID#AAABOlgqOJM
    (2024-05-23 15:05:10)
Its not in the best places website</t>
        </r>
      </text>
    </comment>
  </commentList>
</comments>
</file>

<file path=xl/sharedStrings.xml><?xml version="1.0" encoding="utf-8"?>
<sst xmlns="http://schemas.openxmlformats.org/spreadsheetml/2006/main" count="528" uniqueCount="106">
  <si>
    <t>MAKE A COPY</t>
  </si>
  <si>
    <t xml:space="preserve"> Market Analysis</t>
  </si>
  <si>
    <t>FLORIDA</t>
  </si>
  <si>
    <t>SUPPLY DATA FOR LAND BASED ON SIZE</t>
  </si>
  <si>
    <t>DEMAND DATA FOR LAND BASED ON SIZE</t>
  </si>
  <si>
    <t>DEMAND/SUPPLY RATIO</t>
  </si>
  <si>
    <t>CITY LEVEL METRICS</t>
  </si>
  <si>
    <t>x</t>
  </si>
  <si>
    <t xml:space="preserve">Date </t>
  </si>
  <si>
    <t>County</t>
  </si>
  <si>
    <t>City</t>
  </si>
  <si>
    <t>Total Supply</t>
  </si>
  <si>
    <t>Supply 0-1 Acres</t>
  </si>
  <si>
    <t>Supply 1-3 Acres</t>
  </si>
  <si>
    <t>Supply 3-5  Acres</t>
  </si>
  <si>
    <t>Supply 5+ Acres</t>
  </si>
  <si>
    <t>Total Demand</t>
  </si>
  <si>
    <t>Demand 0-1 Acres</t>
  </si>
  <si>
    <t>Demand 1-3 Acres</t>
  </si>
  <si>
    <t>Demand 3-5 Acres</t>
  </si>
  <si>
    <t>Demand 5+ Acres</t>
  </si>
  <si>
    <t>Total Ratio</t>
  </si>
  <si>
    <t>Ratio 0-1 Acres</t>
  </si>
  <si>
    <t>Ratio 1-3 Acres</t>
  </si>
  <si>
    <t>Ratio 3-5 Acres</t>
  </si>
  <si>
    <t>Ratio 5+ Acres</t>
  </si>
  <si>
    <t>Population Size</t>
  </si>
  <si>
    <t>Crime Rate</t>
  </si>
  <si>
    <t>Job Growth</t>
  </si>
  <si>
    <t>Lee County</t>
  </si>
  <si>
    <t>Lehigh Acres</t>
  </si>
  <si>
    <t>Cape Coral</t>
  </si>
  <si>
    <t>Fort Myers</t>
  </si>
  <si>
    <t>North Fort Myers</t>
  </si>
  <si>
    <t>Bonita Springs</t>
  </si>
  <si>
    <t>Charlotte County</t>
  </si>
  <si>
    <t>Port Charlotte</t>
  </si>
  <si>
    <t>Punta Gorda</t>
  </si>
  <si>
    <t>Rotonda West</t>
  </si>
  <si>
    <t>Placida</t>
  </si>
  <si>
    <t>Englewood</t>
  </si>
  <si>
    <t>Citrus</t>
  </si>
  <si>
    <t>Inverness</t>
  </si>
  <si>
    <t>Homosassa</t>
  </si>
  <si>
    <t>Crystal River</t>
  </si>
  <si>
    <t>Hernando</t>
  </si>
  <si>
    <t>Citrus Springs</t>
  </si>
  <si>
    <t>Sarasota</t>
  </si>
  <si>
    <t>North Port</t>
  </si>
  <si>
    <t>Nokomis</t>
  </si>
  <si>
    <t>Venice</t>
  </si>
  <si>
    <t>Brooksville</t>
  </si>
  <si>
    <t>Weeki Wachee</t>
  </si>
  <si>
    <t>Spring Hill</t>
  </si>
  <si>
    <t>Hernando Beach</t>
  </si>
  <si>
    <t>Webster</t>
  </si>
  <si>
    <t>Marion County</t>
  </si>
  <si>
    <t>Ocala</t>
  </si>
  <si>
    <t>Dunnellon</t>
  </si>
  <si>
    <t>Summerfield</t>
  </si>
  <si>
    <t>Ocklawaha</t>
  </si>
  <si>
    <t>No data</t>
  </si>
  <si>
    <t>Fort Mc Coy</t>
  </si>
  <si>
    <t xml:space="preserve">Polk </t>
  </si>
  <si>
    <t>Lakeland</t>
  </si>
  <si>
    <t>Davenport</t>
  </si>
  <si>
    <t>Haines City</t>
  </si>
  <si>
    <t>Lake Wales</t>
  </si>
  <si>
    <t>Auburndale</t>
  </si>
  <si>
    <t>Volusia</t>
  </si>
  <si>
    <t>Ormond Beach</t>
  </si>
  <si>
    <t>New Smyrna Beach</t>
  </si>
  <si>
    <t>Deland</t>
  </si>
  <si>
    <t>Daytona Beach</t>
  </si>
  <si>
    <t>Deltona</t>
  </si>
  <si>
    <t xml:space="preserve">Collier </t>
  </si>
  <si>
    <t>Naples</t>
  </si>
  <si>
    <t>Marco Island</t>
  </si>
  <si>
    <t>Ave Maria</t>
  </si>
  <si>
    <t>Immokalee</t>
  </si>
  <si>
    <t>Everglades City</t>
  </si>
  <si>
    <t>Santa Rosa</t>
  </si>
  <si>
    <t>Milton</t>
  </si>
  <si>
    <t>Pace</t>
  </si>
  <si>
    <t>Gulf Breeze</t>
  </si>
  <si>
    <t>Navarre</t>
  </si>
  <si>
    <t>Jay</t>
  </si>
  <si>
    <t>Total general</t>
  </si>
  <si>
    <t>mean Job Growth</t>
  </si>
  <si>
    <t>mean Population Size</t>
  </si>
  <si>
    <t>Total Demand 3-5 Acres</t>
  </si>
  <si>
    <t>Total Demand 1-3 Acres</t>
  </si>
  <si>
    <t>Total Demand 5+ Acres</t>
  </si>
  <si>
    <t>Total Supply 0-1 Acres</t>
  </si>
  <si>
    <t>Total Supply 1-3 Acres</t>
  </si>
  <si>
    <t>Total Supply 5+ Acres</t>
  </si>
  <si>
    <t>Crime Rate (%)</t>
  </si>
  <si>
    <t>Mean Crime Rate (%)</t>
  </si>
  <si>
    <t>Total Demand 0-1 Acres</t>
  </si>
  <si>
    <t>Total Supply 3-5 Acres</t>
  </si>
  <si>
    <t>Total</t>
  </si>
  <si>
    <t>Crime Rate(%)</t>
  </si>
  <si>
    <t xml:space="preserve"> </t>
  </si>
  <si>
    <t>Ratios</t>
  </si>
  <si>
    <t>Supplies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</si>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</sst>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mm/dd/yyyy"/>
    <numFmt numFmtId="166" formatCode="0.0%"/>
    <numFmt numFmtId="167" formatCode="_-* #,##0_-;\-* #,##0_-;_-* &quot;-&quot;??_-;_-@_-"/>
    <numFmt numFmtId="168" formatCode="0.000"/>
  </numFmts>
  <fonts count="2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rgb="FFFFFFFF"/>
      <name val="Arial"/>
      <family val="2"/>
    </font>
    <font>
      <b/>
      <sz val="12"/>
      <color theme="0"/>
      <name val="Garamond"/>
      <family val="1"/>
    </font>
    <font>
      <b/>
      <sz val="12"/>
      <color rgb="FFFF0000"/>
      <name val="Garamond"/>
      <family val="1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b/>
      <sz val="12"/>
      <color theme="0"/>
      <name val="Aptos Narrow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FFFF"/>
      <name val="Aptos Narrow"/>
      <family val="2"/>
    </font>
    <font>
      <b/>
      <sz val="12"/>
      <color theme="1"/>
      <name val="Aptos Narrow"/>
      <family val="2"/>
    </font>
    <font>
      <sz val="12"/>
      <color rgb="FFFFFFFF"/>
      <name val="Arial"/>
      <family val="2"/>
      <scheme val="major"/>
    </font>
    <font>
      <b/>
      <sz val="12"/>
      <color theme="1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b/>
      <sz val="12"/>
      <color theme="0"/>
      <name val="Arial"/>
      <family val="2"/>
      <scheme val="major"/>
    </font>
    <font>
      <b/>
      <sz val="12"/>
      <color rgb="FFFFFFFF"/>
      <name val="Arial"/>
      <family val="2"/>
      <scheme val="major"/>
    </font>
    <font>
      <sz val="12"/>
      <color theme="10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2"/>
      <color rgb="FF000000"/>
      <name val="Arial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BE9F7"/>
        <bgColor rgb="FFDBE9F7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/>
      <bottom/>
      <diagonal/>
    </border>
    <border>
      <left style="medium">
        <color rgb="FFFFFFFF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000000"/>
      </top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7" fillId="2" borderId="12" xfId="0" applyFont="1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8" fillId="2" borderId="16" xfId="0" applyFont="1" applyFill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10" fillId="5" borderId="21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165" fontId="9" fillId="0" borderId="24" xfId="0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10" fontId="9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5" borderId="18" xfId="0" applyFont="1" applyFill="1" applyBorder="1" applyAlignment="1">
      <alignment horizontal="center" wrapText="1"/>
    </xf>
    <xf numFmtId="0" fontId="14" fillId="5" borderId="19" xfId="0" applyFont="1" applyFill="1" applyBorder="1" applyAlignment="1">
      <alignment horizontal="center" wrapText="1"/>
    </xf>
    <xf numFmtId="0" fontId="14" fillId="5" borderId="19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 wrapText="1"/>
    </xf>
    <xf numFmtId="0" fontId="15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 wrapText="1"/>
    </xf>
    <xf numFmtId="0" fontId="17" fillId="2" borderId="13" xfId="0" applyFont="1" applyFill="1" applyBorder="1" applyAlignment="1">
      <alignment horizontal="left" vertical="top"/>
    </xf>
    <xf numFmtId="0" fontId="18" fillId="2" borderId="15" xfId="0" applyFont="1" applyFill="1" applyBorder="1" applyAlignment="1">
      <alignment horizontal="left" vertical="top"/>
    </xf>
    <xf numFmtId="0" fontId="14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6" fillId="0" borderId="0" xfId="0" applyFont="1"/>
    <xf numFmtId="0" fontId="14" fillId="0" borderId="0" xfId="0" applyFont="1" applyAlignment="1">
      <alignment horizontal="center" wrapText="1"/>
    </xf>
    <xf numFmtId="0" fontId="14" fillId="5" borderId="14" xfId="0" applyFont="1" applyFill="1" applyBorder="1" applyAlignment="1">
      <alignment horizontal="center" wrapText="1"/>
    </xf>
    <xf numFmtId="0" fontId="20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8" fillId="2" borderId="17" xfId="0" applyFont="1" applyFill="1" applyBorder="1" applyAlignment="1">
      <alignment horizontal="left" vertical="top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7" fillId="2" borderId="13" xfId="0" applyFont="1" applyFill="1" applyBorder="1" applyAlignment="1">
      <alignment horizontal="center" vertical="top"/>
    </xf>
    <xf numFmtId="0" fontId="18" fillId="2" borderId="16" xfId="0" applyFont="1" applyFill="1" applyBorder="1" applyAlignment="1">
      <alignment horizontal="center" vertical="top"/>
    </xf>
    <xf numFmtId="0" fontId="16" fillId="0" borderId="24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4" fillId="5" borderId="33" xfId="0" applyFont="1" applyFill="1" applyBorder="1" applyAlignment="1">
      <alignment horizontal="center"/>
    </xf>
    <xf numFmtId="0" fontId="20" fillId="4" borderId="0" xfId="0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9" fontId="17" fillId="2" borderId="14" xfId="0" applyNumberFormat="1" applyFont="1" applyFill="1" applyBorder="1" applyAlignment="1">
      <alignment horizontal="left" vertical="top"/>
    </xf>
    <xf numFmtId="2" fontId="16" fillId="0" borderId="0" xfId="0" applyNumberFormat="1" applyFont="1" applyAlignment="1">
      <alignment horizontal="center"/>
    </xf>
    <xf numFmtId="2" fontId="16" fillId="0" borderId="8" xfId="0" applyNumberFormat="1" applyFont="1" applyBorder="1" applyAlignment="1">
      <alignment horizontal="center"/>
    </xf>
    <xf numFmtId="2" fontId="16" fillId="0" borderId="31" xfId="0" applyNumberFormat="1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6" fillId="0" borderId="31" xfId="0" applyFont="1" applyBorder="1" applyAlignment="1">
      <alignment horizontal="center"/>
    </xf>
    <xf numFmtId="9" fontId="17" fillId="2" borderId="15" xfId="0" applyNumberFormat="1" applyFont="1" applyFill="1" applyBorder="1" applyAlignment="1">
      <alignment horizontal="left" vertical="top"/>
    </xf>
    <xf numFmtId="0" fontId="18" fillId="2" borderId="15" xfId="0" applyFont="1" applyFill="1" applyBorder="1" applyAlignment="1">
      <alignment horizontal="left" vertical="top" wrapText="1"/>
    </xf>
    <xf numFmtId="10" fontId="16" fillId="0" borderId="8" xfId="0" applyNumberFormat="1" applyFont="1" applyBorder="1" applyAlignment="1">
      <alignment horizont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left" vertical="top" wrapText="1"/>
    </xf>
    <xf numFmtId="3" fontId="16" fillId="0" borderId="24" xfId="0" applyNumberFormat="1" applyFont="1" applyBorder="1" applyAlignment="1">
      <alignment horizontal="center" wrapText="1"/>
    </xf>
    <xf numFmtId="0" fontId="16" fillId="0" borderId="26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3" fontId="16" fillId="0" borderId="12" xfId="0" applyNumberFormat="1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3" fontId="16" fillId="0" borderId="0" xfId="0" applyNumberFormat="1" applyFont="1" applyAlignment="1">
      <alignment horizont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left" vertical="top" wrapText="1"/>
    </xf>
    <xf numFmtId="164" fontId="16" fillId="0" borderId="25" xfId="0" applyNumberFormat="1" applyFont="1" applyBorder="1" applyAlignment="1">
      <alignment horizontal="center"/>
    </xf>
    <xf numFmtId="10" fontId="16" fillId="0" borderId="27" xfId="0" applyNumberFormat="1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8" fillId="2" borderId="12" xfId="0" applyFont="1" applyFill="1" applyBorder="1" applyAlignment="1">
      <alignment horizontal="left" vertical="top"/>
    </xf>
    <xf numFmtId="0" fontId="18" fillId="2" borderId="13" xfId="0" applyFont="1" applyFill="1" applyBorder="1" applyAlignment="1">
      <alignment horizontal="left" vertical="top"/>
    </xf>
    <xf numFmtId="0" fontId="18" fillId="2" borderId="28" xfId="0" applyFont="1" applyFill="1" applyBorder="1" applyAlignment="1">
      <alignment horizontal="left" vertical="top"/>
    </xf>
    <xf numFmtId="0" fontId="18" fillId="2" borderId="12" xfId="0" applyFont="1" applyFill="1" applyBorder="1" applyAlignment="1">
      <alignment horizontal="center" vertical="top"/>
    </xf>
    <xf numFmtId="9" fontId="16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6" fontId="16" fillId="0" borderId="25" xfId="2" applyNumberFormat="1" applyFont="1" applyBorder="1" applyAlignment="1">
      <alignment horizontal="center"/>
    </xf>
    <xf numFmtId="166" fontId="16" fillId="0" borderId="28" xfId="2" applyNumberFormat="1" applyFont="1" applyBorder="1" applyAlignment="1">
      <alignment horizontal="center"/>
    </xf>
    <xf numFmtId="3" fontId="16" fillId="0" borderId="6" xfId="0" applyNumberFormat="1" applyFont="1" applyBorder="1" applyAlignment="1">
      <alignment horizontal="center" wrapText="1"/>
    </xf>
    <xf numFmtId="166" fontId="16" fillId="0" borderId="6" xfId="2" applyNumberFormat="1" applyFont="1" applyBorder="1" applyAlignment="1">
      <alignment horizontal="center"/>
    </xf>
    <xf numFmtId="167" fontId="16" fillId="0" borderId="0" xfId="1" applyNumberFormat="1" applyFont="1" applyAlignment="1">
      <alignment horizontal="center"/>
    </xf>
    <xf numFmtId="167" fontId="16" fillId="4" borderId="0" xfId="1" applyNumberFormat="1" applyFont="1" applyFill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0" borderId="39" xfId="0" applyFont="1" applyBorder="1" applyAlignment="1">
      <alignment horizontal="center"/>
    </xf>
    <xf numFmtId="167" fontId="16" fillId="0" borderId="6" xfId="1" applyNumberFormat="1" applyFont="1" applyBorder="1" applyAlignment="1">
      <alignment horizontal="center"/>
    </xf>
    <xf numFmtId="1" fontId="16" fillId="0" borderId="0" xfId="1" applyNumberFormat="1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left"/>
    </xf>
    <xf numFmtId="0" fontId="12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2" fontId="16" fillId="0" borderId="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 wrapText="1"/>
    </xf>
    <xf numFmtId="10" fontId="16" fillId="0" borderId="6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0" fontId="16" fillId="0" borderId="0" xfId="2" applyNumberFormat="1" applyFont="1" applyAlignment="1">
      <alignment horizontal="center"/>
    </xf>
    <xf numFmtId="10" fontId="15" fillId="4" borderId="0" xfId="2" applyNumberFormat="1" applyFont="1" applyFill="1" applyAlignment="1">
      <alignment horizontal="center"/>
    </xf>
    <xf numFmtId="10" fontId="16" fillId="0" borderId="13" xfId="2" applyNumberFormat="1" applyFont="1" applyBorder="1" applyAlignment="1">
      <alignment horizontal="center"/>
    </xf>
    <xf numFmtId="9" fontId="16" fillId="0" borderId="0" xfId="2" applyFont="1" applyAlignment="1">
      <alignment horizontal="center"/>
    </xf>
    <xf numFmtId="0" fontId="10" fillId="5" borderId="12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164" fontId="5" fillId="0" borderId="0" xfId="0" applyNumberFormat="1" applyFont="1"/>
    <xf numFmtId="0" fontId="19" fillId="0" borderId="6" xfId="0" applyFont="1" applyBorder="1" applyAlignment="1">
      <alignment horizontal="center"/>
    </xf>
    <xf numFmtId="1" fontId="16" fillId="0" borderId="31" xfId="0" applyNumberFormat="1" applyFont="1" applyBorder="1" applyAlignment="1">
      <alignment horizontal="center"/>
    </xf>
    <xf numFmtId="168" fontId="14" fillId="0" borderId="6" xfId="0" applyNumberFormat="1" applyFont="1" applyBorder="1" applyAlignment="1">
      <alignment horizontal="center"/>
    </xf>
    <xf numFmtId="164" fontId="14" fillId="0" borderId="6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/>
    </xf>
    <xf numFmtId="0" fontId="22" fillId="0" borderId="0" xfId="0" applyFont="1"/>
    <xf numFmtId="1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9" fontId="0" fillId="0" borderId="0" xfId="2" applyFont="1"/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pivotButton="1" applyFont="1" applyAlignment="1">
      <alignment horizontal="center"/>
    </xf>
    <xf numFmtId="1" fontId="5" fillId="0" borderId="0" xfId="0" applyNumberFormat="1" applyFont="1"/>
    <xf numFmtId="2" fontId="0" fillId="0" borderId="0" xfId="0" applyNumberFormat="1"/>
    <xf numFmtId="167" fontId="16" fillId="0" borderId="0" xfId="1" applyNumberFormat="1" applyFont="1" applyBorder="1" applyAlignment="1">
      <alignment horizontal="center"/>
    </xf>
    <xf numFmtId="10" fontId="16" fillId="0" borderId="0" xfId="2" applyNumberFormat="1" applyFont="1" applyBorder="1" applyAlignment="1">
      <alignment horizontal="center"/>
    </xf>
    <xf numFmtId="10" fontId="15" fillId="4" borderId="0" xfId="2" applyNumberFormat="1" applyFont="1" applyFill="1" applyBorder="1" applyAlignment="1">
      <alignment horizontal="center"/>
    </xf>
    <xf numFmtId="1" fontId="16" fillId="0" borderId="0" xfId="1" applyNumberFormat="1" applyFont="1" applyBorder="1" applyAlignment="1">
      <alignment horizontal="center"/>
    </xf>
    <xf numFmtId="166" fontId="16" fillId="0" borderId="0" xfId="2" applyNumberFormat="1" applyFont="1" applyAlignment="1">
      <alignment horizontal="center"/>
    </xf>
    <xf numFmtId="166" fontId="16" fillId="0" borderId="13" xfId="2" applyNumberFormat="1" applyFont="1" applyBorder="1" applyAlignment="1">
      <alignment horizontal="center"/>
    </xf>
    <xf numFmtId="9" fontId="21" fillId="0" borderId="0" xfId="0" applyNumberFormat="1" applyFont="1" applyAlignment="1">
      <alignment horizontal="center"/>
    </xf>
    <xf numFmtId="0" fontId="21" fillId="0" borderId="0" xfId="0" pivotButton="1" applyFont="1" applyAlignment="1">
      <alignment horizontal="center"/>
    </xf>
    <xf numFmtId="49" fontId="21" fillId="0" borderId="0" xfId="0" pivotButton="1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6" xfId="0" applyFont="1" applyBorder="1"/>
    <xf numFmtId="0" fontId="5" fillId="0" borderId="0" xfId="0" applyFont="1"/>
    <xf numFmtId="0" fontId="6" fillId="0" borderId="7" xfId="0" applyFont="1" applyBorder="1"/>
    <xf numFmtId="0" fontId="6" fillId="0" borderId="8" xfId="0" applyFont="1" applyBorder="1"/>
    <xf numFmtId="0" fontId="10" fillId="5" borderId="21" xfId="0" applyFont="1" applyFill="1" applyBorder="1" applyAlignment="1">
      <alignment horizontal="left" wrapText="1"/>
    </xf>
    <xf numFmtId="0" fontId="10" fillId="5" borderId="33" xfId="0" applyFont="1" applyFill="1" applyBorder="1" applyAlignment="1">
      <alignment horizontal="left" wrapText="1"/>
    </xf>
    <xf numFmtId="0" fontId="10" fillId="5" borderId="22" xfId="0" applyFont="1" applyFill="1" applyBorder="1" applyAlignment="1">
      <alignment horizontal="left" wrapText="1"/>
    </xf>
    <xf numFmtId="0" fontId="4" fillId="3" borderId="0" xfId="0" applyFont="1" applyFill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01"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numFmt numFmtId="1" formatCode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numFmt numFmtId="0" formatCode="General"/>
    </dxf>
    <dxf>
      <alignment horizontal="center"/>
    </dxf>
    <dxf>
      <numFmt numFmtId="14" formatCode="0.00%"/>
    </dxf>
    <dxf>
      <numFmt numFmtId="14" formatCode="0.00%"/>
    </dxf>
    <dxf>
      <numFmt numFmtId="30" formatCode="@"/>
    </dxf>
    <dxf>
      <numFmt numFmtId="30" formatCode="@"/>
    </dxf>
    <dxf>
      <alignment horizontal="center"/>
    </dxf>
    <dxf>
      <alignment horizontal="center"/>
    </dxf>
    <dxf>
      <numFmt numFmtId="13" formatCode="0%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3" formatCode="#,##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167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167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numFmt numFmtId="167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mm/dd/yyyy"/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ajor"/>
      </font>
      <fill>
        <patternFill patternType="solid">
          <fgColor rgb="FFDBE9F7"/>
          <bgColor rgb="FFDBE9F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[CGR Sample Test Project Data.xlsx]Pivot Tables!TablaDinámica5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7288156600771094E-2"/>
              <c:y val="-5.826709465781190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5903684187177575E-2"/>
              <c:y val="5.410515932511105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8132578931024327E-2"/>
              <c:y val="4.9943223992410204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4634736054102196E-2"/>
              <c:y val="-4.9943223992410204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5903684187177575E-2"/>
              <c:y val="-8.32387066540170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072294734974206E-2"/>
              <c:y val="-0.133181930646427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7198868396536548E-2"/>
              <c:y val="-0.162315477975333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4.7489539073284406E-17"/>
              <c:y val="-4.1619353327008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1.2951842093589024E-3"/>
              <c:y val="-4.99432239924102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5903684187177575E-3"/>
              <c:y val="-7.07529006559144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2.5903684187177575E-3"/>
              <c:y val="-5.8267094657811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3.8855526280765886E-3"/>
              <c:y val="-4.99432239924102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5.1807368374355151E-3"/>
              <c:y val="-5.41051593251110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5278180457085655E-2"/>
              <c:y val="5.530905439193343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6094705533134007E-2"/>
              <c:y val="6.181600196745504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7799945920867736E-2"/>
              <c:y val="-6.506947575521582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130484709942473E-2"/>
          <c:y val="6.2429029990512752E-2"/>
          <c:w val="0.74808809904181872"/>
          <c:h val="0.807669430912692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mean 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Tables'!$A$4:$A$14</c:f>
              <c:strCache>
                <c:ptCount val="10"/>
                <c:pt idx="0">
                  <c:v>Volusia</c:v>
                </c:pt>
                <c:pt idx="1">
                  <c:v>Polk </c:v>
                </c:pt>
                <c:pt idx="2">
                  <c:v>Santa Rosa</c:v>
                </c:pt>
                <c:pt idx="3">
                  <c:v>Sarasota</c:v>
                </c:pt>
                <c:pt idx="4">
                  <c:v>Lee County</c:v>
                </c:pt>
                <c:pt idx="5">
                  <c:v>Hernando</c:v>
                </c:pt>
                <c:pt idx="6">
                  <c:v>Collier </c:v>
                </c:pt>
                <c:pt idx="7">
                  <c:v>Charlotte County</c:v>
                </c:pt>
                <c:pt idx="8">
                  <c:v>Citrus</c:v>
                </c:pt>
                <c:pt idx="9">
                  <c:v>Marion County</c:v>
                </c:pt>
              </c:strCache>
            </c:strRef>
          </c:cat>
          <c:val>
            <c:numRef>
              <c:f>'Pivot Tables'!$B$4:$B$14</c:f>
              <c:numCache>
                <c:formatCode>#,##0</c:formatCode>
                <c:ptCount val="10"/>
                <c:pt idx="0">
                  <c:v>54682.8</c:v>
                </c:pt>
                <c:pt idx="1">
                  <c:v>35567.4</c:v>
                </c:pt>
                <c:pt idx="2">
                  <c:v>15889</c:v>
                </c:pt>
                <c:pt idx="3">
                  <c:v>35191.4</c:v>
                </c:pt>
                <c:pt idx="4">
                  <c:v>99203.199999999997</c:v>
                </c:pt>
                <c:pt idx="5">
                  <c:v>4046</c:v>
                </c:pt>
                <c:pt idx="6">
                  <c:v>13582.6</c:v>
                </c:pt>
                <c:pt idx="7">
                  <c:v>22270</c:v>
                </c:pt>
                <c:pt idx="8">
                  <c:v>6458.8</c:v>
                </c:pt>
                <c:pt idx="9">
                  <c:v>22162.333333333332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B-4619-B766-D1DEA2393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9878256"/>
        <c:axId val="779899376"/>
      </c:barChart>
      <c:lineChart>
        <c:grouping val="standard"/>
        <c:varyColors val="0"/>
        <c:ser>
          <c:idx val="1"/>
          <c:order val="1"/>
          <c:tx>
            <c:strRef>
              <c:f>'Pivot Tables'!$C$3</c:f>
              <c:strCache>
                <c:ptCount val="1"/>
                <c:pt idx="0">
                  <c:v>mean Job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A202-46BA-B92E-7A44B049A8D8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F1-4BE8-985E-513B7826CAB8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1CF-4747-B7FD-1103F9C3740E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01CF-4747-B7FD-1103F9C3740E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F1-4BE8-985E-513B7826CAB8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F1-4BE8-985E-513B7826CAB8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6F1-4BE8-985E-513B7826CAB8}"/>
              </c:ext>
            </c:extLst>
          </c:dPt>
          <c:dLbls>
            <c:dLbl>
              <c:idx val="0"/>
              <c:layout>
                <c:manualLayout>
                  <c:x val="-1.8132578931024327E-2"/>
                  <c:y val="4.9943223992410204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02-46BA-B92E-7A44B049A8D8}"/>
                </c:ext>
              </c:extLst>
            </c:dLbl>
            <c:dLbl>
              <c:idx val="1"/>
              <c:layout>
                <c:manualLayout>
                  <c:x val="-2.5903684187177575E-2"/>
                  <c:y val="5.4105159325111056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F1-4BE8-985E-513B7826CAB8}"/>
                </c:ext>
              </c:extLst>
            </c:dLbl>
            <c:dLbl>
              <c:idx val="2"/>
              <c:layout>
                <c:manualLayout>
                  <c:x val="-1.6094705533134007E-2"/>
                  <c:y val="6.1816001967455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1CF-4747-B7FD-1103F9C3740E}"/>
                </c:ext>
              </c:extLst>
            </c:dLbl>
            <c:dLbl>
              <c:idx val="3"/>
              <c:layout>
                <c:manualLayout>
                  <c:x val="-2.7799945920867736E-2"/>
                  <c:y val="-6.5069475755215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1CF-4747-B7FD-1103F9C3740E}"/>
                </c:ext>
              </c:extLst>
            </c:dLbl>
            <c:dLbl>
              <c:idx val="4"/>
              <c:layout>
                <c:manualLayout>
                  <c:x val="1.4634736054102196E-2"/>
                  <c:y val="-4.9943223992410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F1-4BE8-985E-513B7826CAB8}"/>
                </c:ext>
              </c:extLst>
            </c:dLbl>
            <c:dLbl>
              <c:idx val="5"/>
              <c:layout>
                <c:manualLayout>
                  <c:x val="-2.7288156600771094E-2"/>
                  <c:y val="-5.8267094657811901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F1-4BE8-985E-513B7826CAB8}"/>
                </c:ext>
              </c:extLst>
            </c:dLbl>
            <c:dLbl>
              <c:idx val="7"/>
              <c:layout>
                <c:manualLayout>
                  <c:x val="-2.5278180457085655E-2"/>
                  <c:y val="5.53090543919334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6F1-4BE8-985E-513B7826CAB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Tables'!$A$4:$A$14</c:f>
              <c:strCache>
                <c:ptCount val="10"/>
                <c:pt idx="0">
                  <c:v>Volusia</c:v>
                </c:pt>
                <c:pt idx="1">
                  <c:v>Polk </c:v>
                </c:pt>
                <c:pt idx="2">
                  <c:v>Santa Rosa</c:v>
                </c:pt>
                <c:pt idx="3">
                  <c:v>Sarasota</c:v>
                </c:pt>
                <c:pt idx="4">
                  <c:v>Lee County</c:v>
                </c:pt>
                <c:pt idx="5">
                  <c:v>Hernando</c:v>
                </c:pt>
                <c:pt idx="6">
                  <c:v>Collier </c:v>
                </c:pt>
                <c:pt idx="7">
                  <c:v>Charlotte County</c:v>
                </c:pt>
                <c:pt idx="8">
                  <c:v>Citrus</c:v>
                </c:pt>
                <c:pt idx="9">
                  <c:v>Marion County</c:v>
                </c:pt>
              </c:strCache>
            </c:strRef>
          </c:cat>
          <c:val>
            <c:numRef>
              <c:f>'Pivot Tables'!$C$4:$C$14</c:f>
              <c:numCache>
                <c:formatCode>General</c:formatCode>
                <c:ptCount val="10"/>
                <c:pt idx="0">
                  <c:v>0.44060000000000005</c:v>
                </c:pt>
                <c:pt idx="1">
                  <c:v>0.43459999999999999</c:v>
                </c:pt>
                <c:pt idx="2">
                  <c:v>0.43200000000000005</c:v>
                </c:pt>
                <c:pt idx="3">
                  <c:v>0.43180000000000007</c:v>
                </c:pt>
                <c:pt idx="4">
                  <c:v>0.4284</c:v>
                </c:pt>
                <c:pt idx="5">
                  <c:v>0.37592000000000003</c:v>
                </c:pt>
                <c:pt idx="6">
                  <c:v>0.37547999999999998</c:v>
                </c:pt>
                <c:pt idx="7">
                  <c:v>0.31779999999999997</c:v>
                </c:pt>
                <c:pt idx="8">
                  <c:v>0.28999999999999998</c:v>
                </c:pt>
                <c:pt idx="9">
                  <c:v>0.18675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B-4619-B766-D1DEA23936DA}"/>
            </c:ext>
          </c:extLst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Mean Crime Rate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1AB-4619-B766-D1DEA23936DA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1AB-4619-B766-D1DEA23936DA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1AB-4619-B766-D1DEA23936DA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1AB-4619-B766-D1DEA23936DA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6F1-4BE8-985E-513B7826CAB8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6F1-4BE8-985E-513B7826CAB8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6F1-4BE8-985E-513B7826CAB8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6F1-4BE8-985E-513B7826CAB8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76F1-4BE8-985E-513B7826CAB8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76F1-4BE8-985E-513B7826CAB8}"/>
              </c:ext>
            </c:extLst>
          </c:dPt>
          <c:dLbls>
            <c:dLbl>
              <c:idx val="0"/>
              <c:layout>
                <c:manualLayout>
                  <c:x val="-1.2951842093589024E-3"/>
                  <c:y val="-4.99432239924102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1AB-4619-B766-D1DEA23936DA}"/>
                </c:ext>
              </c:extLst>
            </c:dLbl>
            <c:dLbl>
              <c:idx val="1"/>
              <c:layout>
                <c:manualLayout>
                  <c:x val="-4.7489539073284406E-17"/>
                  <c:y val="-4.16193533270085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AB-4619-B766-D1DEA23936DA}"/>
                </c:ext>
              </c:extLst>
            </c:dLbl>
            <c:dLbl>
              <c:idx val="3"/>
              <c:layout>
                <c:manualLayout>
                  <c:x val="2.5903684187177575E-3"/>
                  <c:y val="-5.8267094657811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AB-4619-B766-D1DEA23936DA}"/>
                </c:ext>
              </c:extLst>
            </c:dLbl>
            <c:dLbl>
              <c:idx val="4"/>
              <c:layout>
                <c:manualLayout>
                  <c:x val="-2.5903684187177575E-3"/>
                  <c:y val="-7.0752900655914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6F1-4BE8-985E-513B7826CAB8}"/>
                </c:ext>
              </c:extLst>
            </c:dLbl>
            <c:dLbl>
              <c:idx val="5"/>
              <c:layout>
                <c:manualLayout>
                  <c:x val="-2.072294734974206E-2"/>
                  <c:y val="-0.133181930646427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6F1-4BE8-985E-513B7826CAB8}"/>
                </c:ext>
              </c:extLst>
            </c:dLbl>
            <c:dLbl>
              <c:idx val="6"/>
              <c:layout>
                <c:manualLayout>
                  <c:x val="-2.7198868396536548E-2"/>
                  <c:y val="-0.162315477975333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6F1-4BE8-985E-513B7826CAB8}"/>
                </c:ext>
              </c:extLst>
            </c:dLbl>
            <c:dLbl>
              <c:idx val="7"/>
              <c:layout>
                <c:manualLayout>
                  <c:x val="3.8855526280765886E-3"/>
                  <c:y val="-4.9943223992410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6F1-4BE8-985E-513B7826CAB8}"/>
                </c:ext>
              </c:extLst>
            </c:dLbl>
            <c:dLbl>
              <c:idx val="8"/>
              <c:layout>
                <c:manualLayout>
                  <c:x val="-2.5903684187177575E-2"/>
                  <c:y val="-8.32387066540170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6F1-4BE8-985E-513B7826CAB8}"/>
                </c:ext>
              </c:extLst>
            </c:dLbl>
            <c:dLbl>
              <c:idx val="9"/>
              <c:layout>
                <c:manualLayout>
                  <c:x val="5.1807368374355151E-3"/>
                  <c:y val="-5.41051593251110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6F1-4BE8-985E-513B7826CA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Tables'!$A$4:$A$14</c:f>
              <c:strCache>
                <c:ptCount val="10"/>
                <c:pt idx="0">
                  <c:v>Volusia</c:v>
                </c:pt>
                <c:pt idx="1">
                  <c:v>Polk </c:v>
                </c:pt>
                <c:pt idx="2">
                  <c:v>Santa Rosa</c:v>
                </c:pt>
                <c:pt idx="3">
                  <c:v>Sarasota</c:v>
                </c:pt>
                <c:pt idx="4">
                  <c:v>Lee County</c:v>
                </c:pt>
                <c:pt idx="5">
                  <c:v>Hernando</c:v>
                </c:pt>
                <c:pt idx="6">
                  <c:v>Collier </c:v>
                </c:pt>
                <c:pt idx="7">
                  <c:v>Charlotte County</c:v>
                </c:pt>
                <c:pt idx="8">
                  <c:v>Citrus</c:v>
                </c:pt>
                <c:pt idx="9">
                  <c:v>Marion County</c:v>
                </c:pt>
              </c:strCache>
            </c:strRef>
          </c:cat>
          <c:val>
            <c:numRef>
              <c:f>'Pivot Tables'!$D$4:$D$14</c:f>
              <c:numCache>
                <c:formatCode>0.00%</c:formatCode>
                <c:ptCount val="10"/>
                <c:pt idx="0">
                  <c:v>6.0399999999999995E-2</c:v>
                </c:pt>
                <c:pt idx="1">
                  <c:v>4.8219999999999999E-2</c:v>
                </c:pt>
                <c:pt idx="2">
                  <c:v>3.8600000000000002E-2</c:v>
                </c:pt>
                <c:pt idx="3">
                  <c:v>4.1460000000000011E-2</c:v>
                </c:pt>
                <c:pt idx="4">
                  <c:v>4.3820000000000005E-2</c:v>
                </c:pt>
                <c:pt idx="5">
                  <c:v>4.0059999999999998E-2</c:v>
                </c:pt>
                <c:pt idx="6">
                  <c:v>3.5900000000000001E-2</c:v>
                </c:pt>
                <c:pt idx="7">
                  <c:v>2.17392E-2</c:v>
                </c:pt>
                <c:pt idx="8">
                  <c:v>4.8919999999999991E-2</c:v>
                </c:pt>
                <c:pt idx="9">
                  <c:v>3.6240000000000008E-2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AB-4619-B766-D1DEA2393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0794384"/>
        <c:axId val="779905136"/>
      </c:lineChart>
      <c:catAx>
        <c:axId val="7798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899376"/>
        <c:crosses val="autoZero"/>
        <c:auto val="1"/>
        <c:lblAlgn val="ctr"/>
        <c:lblOffset val="100"/>
        <c:noMultiLvlLbl val="0"/>
      </c:catAx>
      <c:valAx>
        <c:axId val="77989937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878256"/>
        <c:crosses val="autoZero"/>
        <c:crossBetween val="between"/>
      </c:valAx>
      <c:valAx>
        <c:axId val="77990513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0794384"/>
        <c:crosses val="max"/>
        <c:crossBetween val="between"/>
      </c:valAx>
      <c:catAx>
        <c:axId val="66079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9905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[CGR Sample Test Project Data.xlsx]Pivot Tables!TablaDinámica1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1.5556500105955719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1.8667800127146826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1.4000850095360121E-2"/>
              <c:y val="-4.1666666666666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1779100148338022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1779100148338081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7112150116551258E-2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1.7112150116551372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3.733560025429377E-2"/>
              <c:y val="-0.282407407407407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2226000423822756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2.800170019072027E-2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782500529778448E-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333900063573413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407689320768909E-2"/>
          <c:y val="5.5555555555555552E-2"/>
          <c:w val="0.7310665756958471"/>
          <c:h val="0.79942074948964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Tables'!$G$3</c:f>
              <c:strCache>
                <c:ptCount val="1"/>
                <c:pt idx="0">
                  <c:v>Supplies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C3D-47EE-8E82-461A2C2674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3B-4769-9B48-42DB402491E8}"/>
              </c:ext>
            </c:extLst>
          </c:dPt>
          <c:dLbls>
            <c:dLbl>
              <c:idx val="6"/>
              <c:layout>
                <c:manualLayout>
                  <c:x val="-7.7782500529778448E-3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3B-4769-9B48-42DB402491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Tables'!$F$4:$F$14</c:f>
              <c:strCache>
                <c:ptCount val="10"/>
                <c:pt idx="0">
                  <c:v>Charlotte County</c:v>
                </c:pt>
                <c:pt idx="1">
                  <c:v>Lee County</c:v>
                </c:pt>
                <c:pt idx="2">
                  <c:v>Sarasota</c:v>
                </c:pt>
                <c:pt idx="3">
                  <c:v>Marion County</c:v>
                </c:pt>
                <c:pt idx="4">
                  <c:v>Citrus</c:v>
                </c:pt>
                <c:pt idx="5">
                  <c:v>Hernando</c:v>
                </c:pt>
                <c:pt idx="6">
                  <c:v>Collier </c:v>
                </c:pt>
                <c:pt idx="7">
                  <c:v>Santa Rosa</c:v>
                </c:pt>
                <c:pt idx="8">
                  <c:v>Polk </c:v>
                </c:pt>
                <c:pt idx="9">
                  <c:v>Volusia</c:v>
                </c:pt>
              </c:strCache>
            </c:strRef>
          </c:cat>
          <c:val>
            <c:numRef>
              <c:f>'Pivot Tables'!$G$4:$G$14</c:f>
              <c:numCache>
                <c:formatCode>#,##0</c:formatCode>
                <c:ptCount val="10"/>
                <c:pt idx="0">
                  <c:v>5033</c:v>
                </c:pt>
                <c:pt idx="1">
                  <c:v>5029</c:v>
                </c:pt>
                <c:pt idx="2">
                  <c:v>2363</c:v>
                </c:pt>
                <c:pt idx="3">
                  <c:v>1517</c:v>
                </c:pt>
                <c:pt idx="4">
                  <c:v>1181</c:v>
                </c:pt>
                <c:pt idx="5">
                  <c:v>867</c:v>
                </c:pt>
                <c:pt idx="6">
                  <c:v>676</c:v>
                </c:pt>
                <c:pt idx="7">
                  <c:v>582</c:v>
                </c:pt>
                <c:pt idx="8">
                  <c:v>530</c:v>
                </c:pt>
                <c:pt idx="9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9-4FE3-B363-5CC3F0BFAE08}"/>
            </c:ext>
          </c:extLst>
        </c:ser>
        <c:ser>
          <c:idx val="1"/>
          <c:order val="1"/>
          <c:tx>
            <c:strRef>
              <c:f>'Pivot Tables'!$H$3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3D-47EE-8E82-461A2C2674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3D-47EE-8E82-461A2C26745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B-4769-9B48-42DB402491E8}"/>
              </c:ext>
            </c:extLst>
          </c:dPt>
          <c:dLbls>
            <c:dLbl>
              <c:idx val="1"/>
              <c:layout>
                <c:manualLayout>
                  <c:x val="6.2226000423822756E-3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3D-47EE-8E82-461A2C26745A}"/>
                </c:ext>
              </c:extLst>
            </c:dLbl>
            <c:dLbl>
              <c:idx val="2"/>
              <c:layout>
                <c:manualLayout>
                  <c:x val="9.333900063573413E-3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3D-47EE-8E82-461A2C26745A}"/>
                </c:ext>
              </c:extLst>
            </c:dLbl>
            <c:dLbl>
              <c:idx val="8"/>
              <c:layout>
                <c:manualLayout>
                  <c:x val="1.7112150116551258E-2"/>
                  <c:y val="-1.38888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3B-4769-9B48-42DB402491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Tables'!$F$4:$F$14</c:f>
              <c:strCache>
                <c:ptCount val="10"/>
                <c:pt idx="0">
                  <c:v>Charlotte County</c:v>
                </c:pt>
                <c:pt idx="1">
                  <c:v>Lee County</c:v>
                </c:pt>
                <c:pt idx="2">
                  <c:v>Sarasota</c:v>
                </c:pt>
                <c:pt idx="3">
                  <c:v>Marion County</c:v>
                </c:pt>
                <c:pt idx="4">
                  <c:v>Citrus</c:v>
                </c:pt>
                <c:pt idx="5">
                  <c:v>Hernando</c:v>
                </c:pt>
                <c:pt idx="6">
                  <c:v>Collier </c:v>
                </c:pt>
                <c:pt idx="7">
                  <c:v>Santa Rosa</c:v>
                </c:pt>
                <c:pt idx="8">
                  <c:v>Polk </c:v>
                </c:pt>
                <c:pt idx="9">
                  <c:v>Volusia</c:v>
                </c:pt>
              </c:strCache>
            </c:strRef>
          </c:cat>
          <c:val>
            <c:numRef>
              <c:f>'Pivot Tables'!$H$4:$H$14</c:f>
              <c:numCache>
                <c:formatCode>#,##0</c:formatCode>
                <c:ptCount val="10"/>
                <c:pt idx="0">
                  <c:v>2952</c:v>
                </c:pt>
                <c:pt idx="1">
                  <c:v>4197</c:v>
                </c:pt>
                <c:pt idx="2">
                  <c:v>1738</c:v>
                </c:pt>
                <c:pt idx="3">
                  <c:v>2142</c:v>
                </c:pt>
                <c:pt idx="4">
                  <c:v>1395</c:v>
                </c:pt>
                <c:pt idx="5">
                  <c:v>636</c:v>
                </c:pt>
                <c:pt idx="6">
                  <c:v>565</c:v>
                </c:pt>
                <c:pt idx="7">
                  <c:v>360</c:v>
                </c:pt>
                <c:pt idx="8">
                  <c:v>509</c:v>
                </c:pt>
                <c:pt idx="9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9-4FE3-B363-5CC3F0BFAE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0753584"/>
        <c:axId val="779877776"/>
      </c:barChart>
      <c:lineChart>
        <c:grouping val="standard"/>
        <c:varyColors val="0"/>
        <c:ser>
          <c:idx val="2"/>
          <c:order val="2"/>
          <c:tx>
            <c:strRef>
              <c:f>'Pivot Tables'!$I$3</c:f>
              <c:strCache>
                <c:ptCount val="1"/>
                <c:pt idx="0">
                  <c:v>Ratios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79-4FE3-B363-5CC3F0BFAE0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79-4FE3-B363-5CC3F0BFAE08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BF3B-4769-9B48-42DB402491E8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BF3B-4769-9B48-42DB402491E8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F3B-4769-9B48-42DB402491E8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BF3B-4769-9B48-42DB402491E8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BF3B-4769-9B48-42DB402491E8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F3B-4769-9B48-42DB402491E8}"/>
              </c:ext>
            </c:extLst>
          </c:dPt>
          <c:dLbls>
            <c:dLbl>
              <c:idx val="2"/>
              <c:layout>
                <c:manualLayout>
                  <c:x val="-3.733560025429377E-2"/>
                  <c:y val="-0.282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79-4FE3-B363-5CC3F0BFAE08}"/>
                </c:ext>
              </c:extLst>
            </c:dLbl>
            <c:dLbl>
              <c:idx val="3"/>
              <c:layout>
                <c:manualLayout>
                  <c:x val="-2.1779100148338022E-2"/>
                  <c:y val="-5.55555555555555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79-4FE3-B363-5CC3F0BFAE08}"/>
                </c:ext>
              </c:extLst>
            </c:dLbl>
            <c:dLbl>
              <c:idx val="4"/>
              <c:layout>
                <c:manualLayout>
                  <c:x val="-2.800170019072027E-2"/>
                  <c:y val="-7.40740740740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F3B-4769-9B48-42DB402491E8}"/>
                </c:ext>
              </c:extLst>
            </c:dLbl>
            <c:dLbl>
              <c:idx val="5"/>
              <c:layout>
                <c:manualLayout>
                  <c:x val="-1.8667800127146826E-2"/>
                  <c:y val="-0.1111111111111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3B-4769-9B48-42DB402491E8}"/>
                </c:ext>
              </c:extLst>
            </c:dLbl>
            <c:dLbl>
              <c:idx val="6"/>
              <c:layout>
                <c:manualLayout>
                  <c:x val="-1.5556500105955719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3B-4769-9B48-42DB402491E8}"/>
                </c:ext>
              </c:extLst>
            </c:dLbl>
            <c:dLbl>
              <c:idx val="7"/>
              <c:layout>
                <c:manualLayout>
                  <c:x val="-2.1779100148338081E-2"/>
                  <c:y val="-0.143518518518518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F3B-4769-9B48-42DB402491E8}"/>
                </c:ext>
              </c:extLst>
            </c:dLbl>
            <c:dLbl>
              <c:idx val="8"/>
              <c:layout>
                <c:manualLayout>
                  <c:x val="-1.4000850095360121E-2"/>
                  <c:y val="-4.16666666666666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F3B-4769-9B48-42DB402491E8}"/>
                </c:ext>
              </c:extLst>
            </c:dLbl>
            <c:dLbl>
              <c:idx val="9"/>
              <c:layout>
                <c:manualLayout>
                  <c:x val="-1.7112150116551372E-2"/>
                  <c:y val="-0.143518518518518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F3B-4769-9B48-42DB402491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Tables'!$F$4:$F$14</c:f>
              <c:strCache>
                <c:ptCount val="10"/>
                <c:pt idx="0">
                  <c:v>Charlotte County</c:v>
                </c:pt>
                <c:pt idx="1">
                  <c:v>Lee County</c:v>
                </c:pt>
                <c:pt idx="2">
                  <c:v>Sarasota</c:v>
                </c:pt>
                <c:pt idx="3">
                  <c:v>Marion County</c:v>
                </c:pt>
                <c:pt idx="4">
                  <c:v>Citrus</c:v>
                </c:pt>
                <c:pt idx="5">
                  <c:v>Hernando</c:v>
                </c:pt>
                <c:pt idx="6">
                  <c:v>Collier </c:v>
                </c:pt>
                <c:pt idx="7">
                  <c:v>Santa Rosa</c:v>
                </c:pt>
                <c:pt idx="8">
                  <c:v>Polk </c:v>
                </c:pt>
                <c:pt idx="9">
                  <c:v>Volusia</c:v>
                </c:pt>
              </c:strCache>
            </c:strRef>
          </c:cat>
          <c:val>
            <c:numRef>
              <c:f>'Pivot Tables'!$I$4:$I$14</c:f>
              <c:numCache>
                <c:formatCode>#,##0.00</c:formatCode>
                <c:ptCount val="10"/>
                <c:pt idx="0">
                  <c:v>0.58652890919928469</c:v>
                </c:pt>
                <c:pt idx="1">
                  <c:v>0.83455955458341624</c:v>
                </c:pt>
                <c:pt idx="2">
                  <c:v>0.73550571307659751</c:v>
                </c:pt>
                <c:pt idx="3">
                  <c:v>1.4119973632168754</c:v>
                </c:pt>
                <c:pt idx="4">
                  <c:v>1.1812023708721422</c:v>
                </c:pt>
                <c:pt idx="5">
                  <c:v>0.73356401384083048</c:v>
                </c:pt>
                <c:pt idx="6">
                  <c:v>0.83579881656804733</c:v>
                </c:pt>
                <c:pt idx="7">
                  <c:v>0.61855670103092786</c:v>
                </c:pt>
                <c:pt idx="8">
                  <c:v>0.96037735849056605</c:v>
                </c:pt>
                <c:pt idx="9">
                  <c:v>0.77618069815195068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9-4FE3-B363-5CC3F0BFAE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5176688"/>
        <c:axId val="975186288"/>
      </c:lineChart>
      <c:catAx>
        <c:axId val="6607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877776"/>
        <c:crosses val="autoZero"/>
        <c:auto val="1"/>
        <c:lblAlgn val="ctr"/>
        <c:lblOffset val="100"/>
        <c:noMultiLvlLbl val="0"/>
      </c:catAx>
      <c:valAx>
        <c:axId val="779877776"/>
        <c:scaling>
          <c:orientation val="minMax"/>
          <c:max val="6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0753584"/>
        <c:crosses val="autoZero"/>
        <c:crossBetween val="between"/>
      </c:valAx>
      <c:valAx>
        <c:axId val="975186288"/>
        <c:scaling>
          <c:orientation val="minMax"/>
          <c:max val="1.5"/>
          <c:min val="0.5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5176688"/>
        <c:crosses val="max"/>
        <c:crossBetween val="between"/>
      </c:valAx>
      <c:catAx>
        <c:axId val="97517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5186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>
                <a:solidFill>
                  <a:schemeClr val="tx1"/>
                </a:solidFill>
                <a:latin typeface="+mj-lt"/>
              </a:rPr>
              <a:t>Total Demand VS Total</a:t>
            </a:r>
            <a:r>
              <a:rPr lang="es-CO" sz="1200" baseline="0">
                <a:solidFill>
                  <a:schemeClr val="tx1"/>
                </a:solidFill>
                <a:latin typeface="+mj-lt"/>
              </a:rPr>
              <a:t> Supply</a:t>
            </a:r>
            <a:endParaRPr lang="es-CO" sz="1200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71148029890425"/>
          <c:y val="0.14010073724383176"/>
          <c:w val="0.71458245844269463"/>
          <c:h val="0.640117745698454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Research'!$E$7</c:f>
              <c:strCache>
                <c:ptCount val="1"/>
                <c:pt idx="0">
                  <c:v>Total Supply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09775774260886E-3"/>
                  <c:y val="1.07599671609190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80-440D-BEAD-FEB57CAE4E93}"/>
                </c:ext>
              </c:extLst>
            </c:dLbl>
            <c:dLbl>
              <c:idx val="3"/>
              <c:layout>
                <c:manualLayout>
                  <c:x val="0"/>
                  <c:y val="1.61399507413786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80-440D-BEAD-FEB57CAE4E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Research'!$D$8:$D$12</c:f>
              <c:strCache>
                <c:ptCount val="5"/>
                <c:pt idx="0">
                  <c:v>Cape Coral</c:v>
                </c:pt>
                <c:pt idx="1">
                  <c:v>Lehigh Acres</c:v>
                </c:pt>
                <c:pt idx="2">
                  <c:v>Fort Myers</c:v>
                </c:pt>
                <c:pt idx="3">
                  <c:v>Bonita Springs</c:v>
                </c:pt>
                <c:pt idx="4">
                  <c:v>North Fort Myers</c:v>
                </c:pt>
              </c:strCache>
            </c:strRef>
          </c:cat>
          <c:val>
            <c:numRef>
              <c:f>'City Research'!$E$8:$E$12</c:f>
              <c:numCache>
                <c:formatCode>General</c:formatCode>
                <c:ptCount val="5"/>
                <c:pt idx="0">
                  <c:v>2208</c:v>
                </c:pt>
                <c:pt idx="1">
                  <c:v>2281</c:v>
                </c:pt>
                <c:pt idx="2">
                  <c:v>337</c:v>
                </c:pt>
                <c:pt idx="3">
                  <c:v>92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0-440D-BEAD-FEB57CAE4E93}"/>
            </c:ext>
          </c:extLst>
        </c:ser>
        <c:ser>
          <c:idx val="1"/>
          <c:order val="1"/>
          <c:tx>
            <c:strRef>
              <c:f>'City Research'!$J$7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527876338825987E-2"/>
                  <c:y val="9.76670006435883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80-440D-BEAD-FEB57CAE4E93}"/>
                </c:ext>
              </c:extLst>
            </c:dLbl>
            <c:dLbl>
              <c:idx val="1"/>
              <c:layout>
                <c:manualLayout>
                  <c:x val="6.638833517001233E-2"/>
                  <c:y val="5.73208432537625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80-440D-BEAD-FEB57CAE4E93}"/>
                </c:ext>
              </c:extLst>
            </c:dLbl>
            <c:dLbl>
              <c:idx val="2"/>
              <c:layout>
                <c:manualLayout>
                  <c:x val="2.3331629473839315E-2"/>
                  <c:y val="1.3865198664137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80-440D-BEAD-FEB57CAE4E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Research'!$D$8:$D$12</c:f>
              <c:strCache>
                <c:ptCount val="5"/>
                <c:pt idx="0">
                  <c:v>Cape Coral</c:v>
                </c:pt>
                <c:pt idx="1">
                  <c:v>Lehigh Acres</c:v>
                </c:pt>
                <c:pt idx="2">
                  <c:v>Fort Myers</c:v>
                </c:pt>
                <c:pt idx="3">
                  <c:v>Bonita Springs</c:v>
                </c:pt>
                <c:pt idx="4">
                  <c:v>North Fort Myers</c:v>
                </c:pt>
              </c:strCache>
            </c:strRef>
          </c:cat>
          <c:val>
            <c:numRef>
              <c:f>'City Research'!$J$8:$J$12</c:f>
              <c:numCache>
                <c:formatCode>General</c:formatCode>
                <c:ptCount val="5"/>
                <c:pt idx="0">
                  <c:v>1569</c:v>
                </c:pt>
                <c:pt idx="1">
                  <c:v>2169</c:v>
                </c:pt>
                <c:pt idx="2">
                  <c:v>313</c:v>
                </c:pt>
                <c:pt idx="3">
                  <c:v>47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0-440D-BEAD-FEB57CAE4E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5261743"/>
        <c:axId val="775252143"/>
      </c:barChart>
      <c:lineChart>
        <c:grouping val="standard"/>
        <c:varyColors val="0"/>
        <c:ser>
          <c:idx val="2"/>
          <c:order val="2"/>
          <c:tx>
            <c:v>Ratio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319690847065392E-3"/>
                  <c:y val="-8.2037968654220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35-41AF-8AB8-5461E1ACDB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Research'!$O$8:$O$12</c:f>
              <c:numCache>
                <c:formatCode>0.00</c:formatCode>
                <c:ptCount val="5"/>
                <c:pt idx="0">
                  <c:v>0.71059782608695654</c:v>
                </c:pt>
                <c:pt idx="1">
                  <c:v>0.95089872862779479</c:v>
                </c:pt>
                <c:pt idx="2">
                  <c:v>0.92878338278931749</c:v>
                </c:pt>
                <c:pt idx="3">
                  <c:v>0.51086956521739135</c:v>
                </c:pt>
                <c:pt idx="4">
                  <c:v>0.89189189189189189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5-41AF-8AB8-5461E1AC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47760"/>
        <c:axId val="198345360"/>
      </c:lineChart>
      <c:catAx>
        <c:axId val="77526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252143"/>
        <c:crosses val="autoZero"/>
        <c:auto val="1"/>
        <c:lblAlgn val="ctr"/>
        <c:lblOffset val="100"/>
        <c:noMultiLvlLbl val="0"/>
      </c:catAx>
      <c:valAx>
        <c:axId val="77525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261743"/>
        <c:crosses val="autoZero"/>
        <c:crossBetween val="between"/>
      </c:valAx>
      <c:valAx>
        <c:axId val="198345360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347760"/>
        <c:crosses val="max"/>
        <c:crossBetween val="between"/>
      </c:valAx>
      <c:catAx>
        <c:axId val="198347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834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Crime Rate Vs Job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'City Research (2)'!$U$3</c:f>
              <c:strCache>
                <c:ptCount val="1"/>
                <c:pt idx="0">
                  <c:v>Crime Rate (%)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2"/>
              <c:layout>
                <c:manualLayout>
                  <c:x val="-6.5319553805774283E-2"/>
                  <c:y val="-8.0459744685432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EC-4757-90AB-F5F2CACCE5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'City Research (2)'!$U$4:$U$8</c:f>
              <c:numCache>
                <c:formatCode>0.00%</c:formatCode>
                <c:ptCount val="5"/>
                <c:pt idx="0">
                  <c:v>5.2700000000000004E-2</c:v>
                </c:pt>
                <c:pt idx="1">
                  <c:v>2.8399999999999998E-2</c:v>
                </c:pt>
                <c:pt idx="2">
                  <c:v>4.3900000000000002E-2</c:v>
                </c:pt>
                <c:pt idx="3">
                  <c:v>4.6799999999999994E-2</c:v>
                </c:pt>
                <c:pt idx="4">
                  <c:v>4.7299999999999995E-2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C-4757-90AB-F5F2CACCE523}"/>
            </c:ext>
          </c:extLst>
        </c:ser>
        <c:ser>
          <c:idx val="1"/>
          <c:order val="1"/>
          <c:tx>
            <c:strRef>
              <c:f>'City Research (2)'!$V$3</c:f>
              <c:strCache>
                <c:ptCount val="1"/>
                <c:pt idx="0">
                  <c:v>Job Growth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chemeClr val="accent2"/>
                </a:solidFill>
                <a:ln w="9525" cap="flat" cmpd="sng" algn="ctr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22225" cap="rnd" cmpd="sng" algn="ctr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CDEC-4757-90AB-F5F2CACCE523}"/>
              </c:ext>
            </c:extLst>
          </c:dPt>
          <c:dLbls>
            <c:dLbl>
              <c:idx val="2"/>
              <c:layout>
                <c:manualLayout>
                  <c:x val="-5.9048775153105859E-2"/>
                  <c:y val="-6.4016112569262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EC-4757-90AB-F5F2CACCE523}"/>
                </c:ext>
              </c:extLst>
            </c:dLbl>
            <c:dLbl>
              <c:idx val="3"/>
              <c:layout>
                <c:manualLayout>
                  <c:x val="-7.0159886264216972E-2"/>
                  <c:y val="6.4016112569262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EC-4757-90AB-F5F2CACCE523}"/>
                </c:ext>
              </c:extLst>
            </c:dLbl>
            <c:dLbl>
              <c:idx val="4"/>
              <c:layout>
                <c:manualLayout>
                  <c:x val="-6.1826552930883641E-2"/>
                  <c:y val="5.4756853310002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EC-4757-90AB-F5F2CACCE5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'City Research (2)'!$V$4:$V$8</c:f>
              <c:numCache>
                <c:formatCode>0.0%</c:formatCode>
                <c:ptCount val="5"/>
                <c:pt idx="0">
                  <c:v>0.41600000000000004</c:v>
                </c:pt>
                <c:pt idx="1">
                  <c:v>0.41</c:v>
                </c:pt>
                <c:pt idx="2">
                  <c:v>0.44</c:v>
                </c:pt>
                <c:pt idx="3">
                  <c:v>0.41600000000000004</c:v>
                </c:pt>
                <c:pt idx="4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EC-4757-90AB-F5F2CACCE5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21384400"/>
        <c:axId val="821368080"/>
      </c:lineChart>
      <c:catAx>
        <c:axId val="8213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1368080"/>
        <c:crosses val="autoZero"/>
        <c:auto val="1"/>
        <c:lblAlgn val="ctr"/>
        <c:lblOffset val="100"/>
        <c:noMultiLvlLbl val="0"/>
      </c:catAx>
      <c:valAx>
        <c:axId val="82136808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13844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Population Size VS Job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Research'!$T$7</c:f>
              <c:strCache>
                <c:ptCount val="1"/>
                <c:pt idx="0">
                  <c:v>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Research'!$D$8:$D$12</c:f>
              <c:strCache>
                <c:ptCount val="5"/>
                <c:pt idx="0">
                  <c:v>Cape Coral</c:v>
                </c:pt>
                <c:pt idx="1">
                  <c:v>Lehigh Acres</c:v>
                </c:pt>
                <c:pt idx="2">
                  <c:v>Fort Myers</c:v>
                </c:pt>
                <c:pt idx="3">
                  <c:v>Bonita Springs</c:v>
                </c:pt>
                <c:pt idx="4">
                  <c:v>North Fort Myers</c:v>
                </c:pt>
              </c:strCache>
            </c:strRef>
          </c:cat>
          <c:val>
            <c:numRef>
              <c:f>'City Research'!$T$8:$T$12</c:f>
              <c:numCache>
                <c:formatCode>#,##0</c:formatCode>
                <c:ptCount val="5"/>
                <c:pt idx="0">
                  <c:v>193003</c:v>
                </c:pt>
                <c:pt idx="1">
                  <c:v>123751</c:v>
                </c:pt>
                <c:pt idx="2">
                  <c:v>84694</c:v>
                </c:pt>
                <c:pt idx="3">
                  <c:v>53017</c:v>
                </c:pt>
                <c:pt idx="4">
                  <c:v>41551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4-4179-A478-201DA7A08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468608"/>
        <c:axId val="610454208"/>
      </c:barChart>
      <c:lineChart>
        <c:grouping val="standard"/>
        <c:varyColors val="0"/>
        <c:ser>
          <c:idx val="1"/>
          <c:order val="1"/>
          <c:tx>
            <c:strRef>
              <c:f>'City Research'!$V$7</c:f>
              <c:strCache>
                <c:ptCount val="1"/>
                <c:pt idx="0">
                  <c:v>Job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9444444444444393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44-4179-A478-201DA7A08D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Research'!$V$8:$V$12</c:f>
              <c:numCache>
                <c:formatCode>0.0</c:formatCode>
                <c:ptCount val="5"/>
                <c:pt idx="0">
                  <c:v>41</c:v>
                </c:pt>
                <c:pt idx="1">
                  <c:v>41.6</c:v>
                </c:pt>
                <c:pt idx="2">
                  <c:v>44</c:v>
                </c:pt>
                <c:pt idx="3">
                  <c:v>46</c:v>
                </c:pt>
                <c:pt idx="4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4-4179-A478-201DA7A08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447968"/>
        <c:axId val="610441248"/>
      </c:lineChart>
      <c:catAx>
        <c:axId val="61046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454208"/>
        <c:crosses val="autoZero"/>
        <c:auto val="1"/>
        <c:lblAlgn val="ctr"/>
        <c:lblOffset val="100"/>
        <c:noMultiLvlLbl val="0"/>
      </c:catAx>
      <c:valAx>
        <c:axId val="610454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468608"/>
        <c:crosses val="autoZero"/>
        <c:crossBetween val="between"/>
      </c:valAx>
      <c:valAx>
        <c:axId val="61044124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447968"/>
        <c:crosses val="max"/>
        <c:crossBetween val="between"/>
      </c:valAx>
      <c:catAx>
        <c:axId val="610447968"/>
        <c:scaling>
          <c:orientation val="minMax"/>
        </c:scaling>
        <c:delete val="1"/>
        <c:axPos val="b"/>
        <c:majorTickMark val="out"/>
        <c:minorTickMark val="none"/>
        <c:tickLblPos val="nextTo"/>
        <c:crossAx val="610441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>
                <a:solidFill>
                  <a:schemeClr val="tx1"/>
                </a:solidFill>
              </a:rPr>
              <a:t>Population Size VS Crime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Research'!$T$7</c:f>
              <c:strCache>
                <c:ptCount val="1"/>
                <c:pt idx="0">
                  <c:v>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Research'!$D$8:$D$12</c:f>
              <c:strCache>
                <c:ptCount val="5"/>
                <c:pt idx="0">
                  <c:v>Cape Coral</c:v>
                </c:pt>
                <c:pt idx="1">
                  <c:v>Lehigh Acres</c:v>
                </c:pt>
                <c:pt idx="2">
                  <c:v>Fort Myers</c:v>
                </c:pt>
                <c:pt idx="3">
                  <c:v>Bonita Springs</c:v>
                </c:pt>
                <c:pt idx="4">
                  <c:v>North Fort Myers</c:v>
                </c:pt>
              </c:strCache>
            </c:strRef>
          </c:cat>
          <c:val>
            <c:numRef>
              <c:f>'City Research'!$T$8:$T$12</c:f>
              <c:numCache>
                <c:formatCode>#,##0</c:formatCode>
                <c:ptCount val="5"/>
                <c:pt idx="0">
                  <c:v>193003</c:v>
                </c:pt>
                <c:pt idx="1">
                  <c:v>123751</c:v>
                </c:pt>
                <c:pt idx="2">
                  <c:v>84694</c:v>
                </c:pt>
                <c:pt idx="3">
                  <c:v>53017</c:v>
                </c:pt>
                <c:pt idx="4">
                  <c:v>41551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6-4247-95D6-92F65B6C3A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811983"/>
        <c:axId val="430822063"/>
      </c:barChart>
      <c:lineChart>
        <c:grouping val="standard"/>
        <c:varyColors val="0"/>
        <c:ser>
          <c:idx val="1"/>
          <c:order val="1"/>
          <c:tx>
            <c:strRef>
              <c:f>'City Research'!$U$7</c:f>
              <c:strCache>
                <c:ptCount val="1"/>
                <c:pt idx="0">
                  <c:v>Crime Rate(%)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666666666666676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66-4247-95D6-92F65B6C3AD8}"/>
                </c:ext>
              </c:extLst>
            </c:dLbl>
            <c:dLbl>
              <c:idx val="3"/>
              <c:layout>
                <c:manualLayout>
                  <c:x val="-3.6111111111111108E-2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66-4247-95D6-92F65B6C3AD8}"/>
                </c:ext>
              </c:extLst>
            </c:dLbl>
            <c:dLbl>
              <c:idx val="4"/>
              <c:layout>
                <c:manualLayout>
                  <c:x val="-4.1666666666666768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66-4247-95D6-92F65B6C3A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Research'!$U$8:$U$12</c:f>
              <c:numCache>
                <c:formatCode>0.00%</c:formatCode>
                <c:ptCount val="5"/>
                <c:pt idx="0">
                  <c:v>2.8400000000000002E-2</c:v>
                </c:pt>
                <c:pt idx="1">
                  <c:v>5.2700000000000004E-2</c:v>
                </c:pt>
                <c:pt idx="2">
                  <c:v>4.3899999999999995E-2</c:v>
                </c:pt>
                <c:pt idx="3">
                  <c:v>4.7299999999999995E-2</c:v>
                </c:pt>
                <c:pt idx="4">
                  <c:v>4.6799999999999994E-2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6-4247-95D6-92F65B6C3A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0810063"/>
        <c:axId val="430820623"/>
      </c:lineChart>
      <c:catAx>
        <c:axId val="43081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0822063"/>
        <c:crosses val="autoZero"/>
        <c:auto val="1"/>
        <c:lblAlgn val="ctr"/>
        <c:lblOffset val="100"/>
        <c:noMultiLvlLbl val="0"/>
      </c:catAx>
      <c:valAx>
        <c:axId val="430822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0811983"/>
        <c:crosses val="autoZero"/>
        <c:crossBetween val="between"/>
      </c:valAx>
      <c:valAx>
        <c:axId val="43082062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0810063"/>
        <c:crosses val="max"/>
        <c:crossBetween val="between"/>
      </c:valAx>
      <c:catAx>
        <c:axId val="430810063"/>
        <c:scaling>
          <c:orientation val="minMax"/>
        </c:scaling>
        <c:delete val="1"/>
        <c:axPos val="b"/>
        <c:majorTickMark val="out"/>
        <c:minorTickMark val="none"/>
        <c:tickLblPos val="nextTo"/>
        <c:crossAx val="430820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Population Size VS Job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601443569553806"/>
          <c:y val="0.16250000000000003"/>
          <c:w val="0.79577690288713909"/>
          <c:h val="0.62949292796733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Research'!$T$41</c:f>
              <c:strCache>
                <c:ptCount val="1"/>
                <c:pt idx="0">
                  <c:v>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4.4444444444444495E-2"/>
                  <c:y val="4.6296296296295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43-4896-A1BC-7B3F7677D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Research'!$D$42:$D$46</c:f>
              <c:strCache>
                <c:ptCount val="5"/>
                <c:pt idx="0">
                  <c:v>North Port</c:v>
                </c:pt>
                <c:pt idx="1">
                  <c:v>Sarasota</c:v>
                </c:pt>
                <c:pt idx="2">
                  <c:v>Venice</c:v>
                </c:pt>
                <c:pt idx="3">
                  <c:v>Englewood</c:v>
                </c:pt>
                <c:pt idx="4">
                  <c:v>Nokomis</c:v>
                </c:pt>
              </c:strCache>
            </c:strRef>
          </c:cat>
          <c:val>
            <c:numRef>
              <c:f>'City Research'!$T$42:$T$46</c:f>
              <c:numCache>
                <c:formatCode>#,##0</c:formatCode>
                <c:ptCount val="5"/>
                <c:pt idx="0">
                  <c:v>74131</c:v>
                </c:pt>
                <c:pt idx="1">
                  <c:v>53786</c:v>
                </c:pt>
                <c:pt idx="2">
                  <c:v>24876</c:v>
                </c:pt>
                <c:pt idx="3">
                  <c:v>19683</c:v>
                </c:pt>
                <c:pt idx="4">
                  <c:v>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3-4896-A1BC-7B3F7677D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26464"/>
        <c:axId val="116424544"/>
      </c:barChart>
      <c:lineChart>
        <c:grouping val="standard"/>
        <c:varyColors val="0"/>
        <c:ser>
          <c:idx val="1"/>
          <c:order val="1"/>
          <c:tx>
            <c:strRef>
              <c:f>'City Research'!$V$41</c:f>
              <c:strCache>
                <c:ptCount val="1"/>
                <c:pt idx="0">
                  <c:v>Job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4444444444444446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43-4896-A1BC-7B3F7677DA30}"/>
                </c:ext>
              </c:extLst>
            </c:dLbl>
            <c:dLbl>
              <c:idx val="2"/>
              <c:layout>
                <c:manualLayout>
                  <c:x val="-1.6666666666666767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43-4896-A1BC-7B3F7677DA30}"/>
                </c:ext>
              </c:extLst>
            </c:dLbl>
            <c:dLbl>
              <c:idx val="3"/>
              <c:layout>
                <c:manualLayout>
                  <c:x val="-2.5000000000000001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43-4896-A1BC-7B3F7677DA30}"/>
                </c:ext>
              </c:extLst>
            </c:dLbl>
            <c:dLbl>
              <c:idx val="4"/>
              <c:layout>
                <c:manualLayout>
                  <c:x val="-1.666666666666676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43-4896-A1BC-7B3F7677DA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Research'!$V$42:$V$46</c:f>
              <c:numCache>
                <c:formatCode>General</c:formatCode>
                <c:ptCount val="5"/>
                <c:pt idx="0">
                  <c:v>44.7</c:v>
                </c:pt>
                <c:pt idx="1">
                  <c:v>44.6</c:v>
                </c:pt>
                <c:pt idx="2">
                  <c:v>42.2</c:v>
                </c:pt>
                <c:pt idx="3">
                  <c:v>42.2</c:v>
                </c:pt>
                <c:pt idx="4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3-4896-A1BC-7B3F7677D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30784"/>
        <c:axId val="116429344"/>
      </c:lineChart>
      <c:catAx>
        <c:axId val="1164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424544"/>
        <c:crosses val="autoZero"/>
        <c:auto val="1"/>
        <c:lblAlgn val="ctr"/>
        <c:lblOffset val="100"/>
        <c:noMultiLvlLbl val="0"/>
      </c:catAx>
      <c:valAx>
        <c:axId val="1164245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426464"/>
        <c:crosses val="autoZero"/>
        <c:crossBetween val="between"/>
      </c:valAx>
      <c:valAx>
        <c:axId val="116429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430784"/>
        <c:crosses val="max"/>
        <c:crossBetween val="between"/>
      </c:valAx>
      <c:catAx>
        <c:axId val="116430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16429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Population Size VS Crime Rate</a:t>
            </a:r>
          </a:p>
        </c:rich>
      </c:tx>
      <c:layout>
        <c:manualLayout>
          <c:xMode val="edge"/>
          <c:yMode val="edge"/>
          <c:x val="0.2628333333333333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Research'!$T$41</c:f>
              <c:strCache>
                <c:ptCount val="1"/>
                <c:pt idx="0">
                  <c:v>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4.4444444444444446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1A-43EC-8831-6C94970BC2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Research'!$T$42:$T$46</c:f>
              <c:numCache>
                <c:formatCode>#,##0</c:formatCode>
                <c:ptCount val="5"/>
                <c:pt idx="0">
                  <c:v>74131</c:v>
                </c:pt>
                <c:pt idx="1">
                  <c:v>53786</c:v>
                </c:pt>
                <c:pt idx="2">
                  <c:v>24876</c:v>
                </c:pt>
                <c:pt idx="3">
                  <c:v>19683</c:v>
                </c:pt>
                <c:pt idx="4">
                  <c:v>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A-43EC-8831-6C9497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867072"/>
        <c:axId val="1080859872"/>
      </c:barChart>
      <c:lineChart>
        <c:grouping val="standard"/>
        <c:varyColors val="0"/>
        <c:ser>
          <c:idx val="1"/>
          <c:order val="1"/>
          <c:tx>
            <c:strRef>
              <c:f>'City Research'!$U$41</c:f>
              <c:strCache>
                <c:ptCount val="1"/>
                <c:pt idx="0">
                  <c:v>Crime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7222222222222325E-2"/>
                  <c:y val="-0.143518518518518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1A-43EC-8831-6C94970BC205}"/>
                </c:ext>
              </c:extLst>
            </c:dLbl>
            <c:dLbl>
              <c:idx val="3"/>
              <c:layout>
                <c:manualLayout>
                  <c:x val="-3.055555555555555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1A-43EC-8831-6C94970BC205}"/>
                </c:ext>
              </c:extLst>
            </c:dLbl>
            <c:dLbl>
              <c:idx val="4"/>
              <c:layout>
                <c:manualLayout>
                  <c:x val="-3.8888888888888785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1A-43EC-8831-6C94970BC2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Research'!$U$42:$U$46</c:f>
              <c:numCache>
                <c:formatCode>0.00%</c:formatCode>
                <c:ptCount val="5"/>
                <c:pt idx="0">
                  <c:v>2.3300000000000001E-2</c:v>
                </c:pt>
                <c:pt idx="1">
                  <c:v>6.0299999999999999E-2</c:v>
                </c:pt>
                <c:pt idx="2">
                  <c:v>2.7600000000000003E-2</c:v>
                </c:pt>
                <c:pt idx="3">
                  <c:v>4.9599999999999998E-2</c:v>
                </c:pt>
                <c:pt idx="4">
                  <c:v>4.65E-2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A-43EC-8831-6C9497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851232"/>
        <c:axId val="1080857952"/>
      </c:lineChart>
      <c:catAx>
        <c:axId val="1080867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0859872"/>
        <c:crosses val="autoZero"/>
        <c:auto val="1"/>
        <c:lblAlgn val="ctr"/>
        <c:lblOffset val="100"/>
        <c:noMultiLvlLbl val="0"/>
      </c:catAx>
      <c:valAx>
        <c:axId val="108085987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0867072"/>
        <c:crosses val="autoZero"/>
        <c:crossBetween val="between"/>
      </c:valAx>
      <c:valAx>
        <c:axId val="108085795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0851232"/>
        <c:crosses val="max"/>
        <c:crossBetween val="between"/>
      </c:valAx>
      <c:catAx>
        <c:axId val="1080851232"/>
        <c:scaling>
          <c:orientation val="minMax"/>
        </c:scaling>
        <c:delete val="1"/>
        <c:axPos val="b"/>
        <c:majorTickMark val="out"/>
        <c:minorTickMark val="none"/>
        <c:tickLblPos val="nextTo"/>
        <c:crossAx val="1080857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Total Demand VS Total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Research'!$E$41</c:f>
              <c:strCache>
                <c:ptCount val="1"/>
                <c:pt idx="0">
                  <c:v>Total Supply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Research'!$D$42:$D$46</c:f>
              <c:strCache>
                <c:ptCount val="5"/>
                <c:pt idx="0">
                  <c:v>North Port</c:v>
                </c:pt>
                <c:pt idx="1">
                  <c:v>Sarasota</c:v>
                </c:pt>
                <c:pt idx="2">
                  <c:v>Venice</c:v>
                </c:pt>
                <c:pt idx="3">
                  <c:v>Englewood</c:v>
                </c:pt>
                <c:pt idx="4">
                  <c:v>Nokomis</c:v>
                </c:pt>
              </c:strCache>
            </c:strRef>
          </c:cat>
          <c:val>
            <c:numRef>
              <c:f>'City Research'!$E$42:$E$46</c:f>
              <c:numCache>
                <c:formatCode>General</c:formatCode>
                <c:ptCount val="5"/>
                <c:pt idx="0">
                  <c:v>1855</c:v>
                </c:pt>
                <c:pt idx="1">
                  <c:v>107</c:v>
                </c:pt>
                <c:pt idx="2">
                  <c:v>72</c:v>
                </c:pt>
                <c:pt idx="3">
                  <c:v>299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F-4E1C-83B2-A5FF38A94BFF}"/>
            </c:ext>
          </c:extLst>
        </c:ser>
        <c:ser>
          <c:idx val="1"/>
          <c:order val="1"/>
          <c:tx>
            <c:strRef>
              <c:f>'City Research'!$J$41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66666666666664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3F-4E1C-83B2-A5FF38A94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Research'!$D$42:$D$46</c:f>
              <c:strCache>
                <c:ptCount val="5"/>
                <c:pt idx="0">
                  <c:v>North Port</c:v>
                </c:pt>
                <c:pt idx="1">
                  <c:v>Sarasota</c:v>
                </c:pt>
                <c:pt idx="2">
                  <c:v>Venice</c:v>
                </c:pt>
                <c:pt idx="3">
                  <c:v>Englewood</c:v>
                </c:pt>
                <c:pt idx="4">
                  <c:v>Nokomis</c:v>
                </c:pt>
              </c:strCache>
            </c:strRef>
          </c:cat>
          <c:val>
            <c:numRef>
              <c:f>'City Research'!$J$42:$J$46</c:f>
              <c:numCache>
                <c:formatCode>General</c:formatCode>
                <c:ptCount val="5"/>
                <c:pt idx="0">
                  <c:v>1408</c:v>
                </c:pt>
                <c:pt idx="1">
                  <c:v>76</c:v>
                </c:pt>
                <c:pt idx="2">
                  <c:v>54</c:v>
                </c:pt>
                <c:pt idx="3">
                  <c:v>182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F-4E1C-83B2-A5FF38A94B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8347760"/>
        <c:axId val="198345360"/>
      </c:barChart>
      <c:lineChart>
        <c:grouping val="standard"/>
        <c:varyColors val="0"/>
        <c:ser>
          <c:idx val="2"/>
          <c:order val="2"/>
          <c:tx>
            <c:v>Ratio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5000000000000001E-2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3F-4E1C-83B2-A5FF38A94BFF}"/>
                </c:ext>
              </c:extLst>
            </c:dLbl>
            <c:dLbl>
              <c:idx val="3"/>
              <c:layout>
                <c:manualLayout>
                  <c:x val="-1.0185067526415994E-16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3F-4E1C-83B2-A5FF38A94BFF}"/>
                </c:ext>
              </c:extLst>
            </c:dLbl>
            <c:dLbl>
              <c:idx val="4"/>
              <c:layout>
                <c:manualLayout>
                  <c:x val="-5.5555555555555552E-2"/>
                  <c:y val="6.9444444444444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3F-4E1C-83B2-A5FF38A94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Research'!$O$42:$O$46</c:f>
              <c:numCache>
                <c:formatCode>0.00</c:formatCode>
                <c:ptCount val="5"/>
                <c:pt idx="0">
                  <c:v>0.75902964959568731</c:v>
                </c:pt>
                <c:pt idx="1">
                  <c:v>0.71028037383177567</c:v>
                </c:pt>
                <c:pt idx="2">
                  <c:v>0.75</c:v>
                </c:pt>
                <c:pt idx="3">
                  <c:v>0.60869565217391308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3F-4E1C-83B2-A5FF38A94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02544"/>
        <c:axId val="189504464"/>
      </c:lineChart>
      <c:catAx>
        <c:axId val="19834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345360"/>
        <c:crosses val="autoZero"/>
        <c:auto val="1"/>
        <c:lblAlgn val="ctr"/>
        <c:lblOffset val="100"/>
        <c:noMultiLvlLbl val="0"/>
      </c:catAx>
      <c:valAx>
        <c:axId val="19834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347760"/>
        <c:crosses val="autoZero"/>
        <c:crossBetween val="between"/>
      </c:valAx>
      <c:valAx>
        <c:axId val="18950446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502544"/>
        <c:crosses val="max"/>
        <c:crossBetween val="between"/>
      </c:valAx>
      <c:catAx>
        <c:axId val="189502544"/>
        <c:scaling>
          <c:orientation val="minMax"/>
        </c:scaling>
        <c:delete val="1"/>
        <c:axPos val="b"/>
        <c:majorTickMark val="out"/>
        <c:minorTickMark val="none"/>
        <c:tickLblPos val="nextTo"/>
        <c:crossAx val="189504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Population Size VS Crime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Research'!$T$18</c:f>
              <c:strCache>
                <c:ptCount val="1"/>
                <c:pt idx="0">
                  <c:v>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Research'!$D$19:$D$23</c:f>
              <c:strCache>
                <c:ptCount val="5"/>
                <c:pt idx="0">
                  <c:v>Port Charlotte</c:v>
                </c:pt>
                <c:pt idx="1">
                  <c:v>Punta Gorda</c:v>
                </c:pt>
                <c:pt idx="2">
                  <c:v>Rotonda West</c:v>
                </c:pt>
                <c:pt idx="3">
                  <c:v>Placida</c:v>
                </c:pt>
                <c:pt idx="4">
                  <c:v>Englewood</c:v>
                </c:pt>
              </c:strCache>
            </c:strRef>
          </c:cat>
          <c:val>
            <c:numRef>
              <c:f>'City Research'!$T$19:$T$23</c:f>
              <c:numCache>
                <c:formatCode>#,##0</c:formatCode>
                <c:ptCount val="5"/>
                <c:pt idx="0">
                  <c:v>62531</c:v>
                </c:pt>
                <c:pt idx="1">
                  <c:v>19230</c:v>
                </c:pt>
                <c:pt idx="2">
                  <c:v>9906</c:v>
                </c:pt>
                <c:pt idx="3" formatCode="General">
                  <c:v>0</c:v>
                </c:pt>
                <c:pt idx="4">
                  <c:v>19683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1-4619-B0C8-6EA0BF03D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86160"/>
        <c:axId val="192985200"/>
      </c:barChart>
      <c:lineChart>
        <c:grouping val="standard"/>
        <c:varyColors val="0"/>
        <c:ser>
          <c:idx val="1"/>
          <c:order val="1"/>
          <c:tx>
            <c:strRef>
              <c:f>'City Research'!$U$18</c:f>
              <c:strCache>
                <c:ptCount val="1"/>
                <c:pt idx="0">
                  <c:v>Crime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666666666666671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41-4619-B0C8-6EA0BF03D29D}"/>
                </c:ext>
              </c:extLst>
            </c:dLbl>
            <c:dLbl>
              <c:idx val="3"/>
              <c:layout>
                <c:manualLayout>
                  <c:x val="-5.5555555555556572E-3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41-4619-B0C8-6EA0BF03D29D}"/>
                </c:ext>
              </c:extLst>
            </c:dLbl>
            <c:dLbl>
              <c:idx val="4"/>
              <c:layout>
                <c:manualLayout>
                  <c:x val="-3.8888888888888994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41-4619-B0C8-6EA0BF03D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Research'!$U$19:$U$23</c:f>
              <c:numCache>
                <c:formatCode>0.00%</c:formatCode>
                <c:ptCount val="5"/>
                <c:pt idx="0">
                  <c:v>5.28E-2</c:v>
                </c:pt>
                <c:pt idx="1">
                  <c:v>2.3300000000000001E-2</c:v>
                </c:pt>
                <c:pt idx="2">
                  <c:v>3.2100000000000004E-2</c:v>
                </c:pt>
                <c:pt idx="3" formatCode="0%">
                  <c:v>0</c:v>
                </c:pt>
                <c:pt idx="4">
                  <c:v>4.9600000000000002E-4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41-4619-B0C8-6EA0BF03D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84240"/>
        <c:axId val="192986640"/>
      </c:lineChart>
      <c:catAx>
        <c:axId val="19298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85200"/>
        <c:crosses val="autoZero"/>
        <c:auto val="1"/>
        <c:lblAlgn val="ctr"/>
        <c:lblOffset val="100"/>
        <c:noMultiLvlLbl val="0"/>
      </c:catAx>
      <c:valAx>
        <c:axId val="1929852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86160"/>
        <c:crosses val="autoZero"/>
        <c:crossBetween val="between"/>
      </c:valAx>
      <c:valAx>
        <c:axId val="1929866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84240"/>
        <c:crosses val="max"/>
        <c:crossBetween val="between"/>
      </c:valAx>
      <c:catAx>
        <c:axId val="1929842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2986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Population Size VS Job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Research'!$T$18</c:f>
              <c:strCache>
                <c:ptCount val="1"/>
                <c:pt idx="0">
                  <c:v>Population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Research'!$D$19:$D$23</c:f>
              <c:strCache>
                <c:ptCount val="5"/>
                <c:pt idx="0">
                  <c:v>Port Charlotte</c:v>
                </c:pt>
                <c:pt idx="1">
                  <c:v>Punta Gorda</c:v>
                </c:pt>
                <c:pt idx="2">
                  <c:v>Rotonda West</c:v>
                </c:pt>
                <c:pt idx="3">
                  <c:v>Placida</c:v>
                </c:pt>
                <c:pt idx="4">
                  <c:v>Englewood</c:v>
                </c:pt>
              </c:strCache>
            </c:strRef>
          </c:cat>
          <c:val>
            <c:numRef>
              <c:f>'City Research'!$T$19:$T$23</c:f>
              <c:numCache>
                <c:formatCode>#,##0</c:formatCode>
                <c:ptCount val="5"/>
                <c:pt idx="0">
                  <c:v>62531</c:v>
                </c:pt>
                <c:pt idx="1">
                  <c:v>19230</c:v>
                </c:pt>
                <c:pt idx="2">
                  <c:v>9906</c:v>
                </c:pt>
                <c:pt idx="3" formatCode="General">
                  <c:v>0</c:v>
                </c:pt>
                <c:pt idx="4">
                  <c:v>19683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4-44F9-9988-851D86E7D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69328"/>
        <c:axId val="116470288"/>
      </c:barChart>
      <c:lineChart>
        <c:grouping val="standard"/>
        <c:varyColors val="0"/>
        <c:ser>
          <c:idx val="1"/>
          <c:order val="1"/>
          <c:tx>
            <c:strRef>
              <c:f>'City Research'!$V$18</c:f>
              <c:strCache>
                <c:ptCount val="1"/>
                <c:pt idx="0">
                  <c:v>Job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2222222222222171E-2"/>
                  <c:y val="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54-44F9-9988-851D86E7D456}"/>
                </c:ext>
              </c:extLst>
            </c:dLbl>
            <c:dLbl>
              <c:idx val="1"/>
              <c:layout>
                <c:manualLayout>
                  <c:x val="-1.388888888888894E-2"/>
                  <c:y val="7.40740740740740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54-44F9-9988-851D86E7D4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Research'!$V$19:$V$23</c:f>
              <c:numCache>
                <c:formatCode>General</c:formatCode>
                <c:ptCount val="5"/>
                <c:pt idx="0">
                  <c:v>38.9</c:v>
                </c:pt>
                <c:pt idx="1">
                  <c:v>38.9</c:v>
                </c:pt>
                <c:pt idx="2">
                  <c:v>38.9</c:v>
                </c:pt>
                <c:pt idx="3">
                  <c:v>0</c:v>
                </c:pt>
                <c:pt idx="4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4-44F9-9988-851D86E7D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29824"/>
        <c:axId val="116427424"/>
      </c:lineChart>
      <c:catAx>
        <c:axId val="11646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470288"/>
        <c:crosses val="autoZero"/>
        <c:auto val="1"/>
        <c:lblAlgn val="ctr"/>
        <c:lblOffset val="100"/>
        <c:noMultiLvlLbl val="0"/>
      </c:catAx>
      <c:valAx>
        <c:axId val="1164702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469328"/>
        <c:crosses val="autoZero"/>
        <c:crossBetween val="between"/>
      </c:valAx>
      <c:valAx>
        <c:axId val="116427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429824"/>
        <c:crosses val="max"/>
        <c:crossBetween val="between"/>
      </c:valAx>
      <c:catAx>
        <c:axId val="116429824"/>
        <c:scaling>
          <c:orientation val="minMax"/>
        </c:scaling>
        <c:delete val="1"/>
        <c:axPos val="b"/>
        <c:majorTickMark val="out"/>
        <c:minorTickMark val="none"/>
        <c:tickLblPos val="nextTo"/>
        <c:crossAx val="116427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0" i="0" u="none" strike="noStrike" kern="1200" spc="0" baseline="0">
                <a:solidFill>
                  <a:schemeClr val="tx1"/>
                </a:solidFill>
              </a:rPr>
              <a:t>Total Demand VS Total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Research'!$E$18</c:f>
              <c:strCache>
                <c:ptCount val="1"/>
                <c:pt idx="0">
                  <c:v>Total Supply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Research'!$D$19:$D$23</c:f>
              <c:strCache>
                <c:ptCount val="5"/>
                <c:pt idx="0">
                  <c:v>Port Charlotte</c:v>
                </c:pt>
                <c:pt idx="1">
                  <c:v>Punta Gorda</c:v>
                </c:pt>
                <c:pt idx="2">
                  <c:v>Rotonda West</c:v>
                </c:pt>
                <c:pt idx="3">
                  <c:v>Placida</c:v>
                </c:pt>
                <c:pt idx="4">
                  <c:v>Englewood</c:v>
                </c:pt>
              </c:strCache>
            </c:strRef>
          </c:cat>
          <c:val>
            <c:numRef>
              <c:f>'City Research'!$E$19:$E$23</c:f>
              <c:numCache>
                <c:formatCode>General</c:formatCode>
                <c:ptCount val="5"/>
                <c:pt idx="0">
                  <c:v>3164</c:v>
                </c:pt>
                <c:pt idx="1">
                  <c:v>1344</c:v>
                </c:pt>
                <c:pt idx="2">
                  <c:v>225</c:v>
                </c:pt>
                <c:pt idx="3">
                  <c:v>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C-40CD-B43A-851A5CDFB9F5}"/>
            </c:ext>
          </c:extLst>
        </c:ser>
        <c:ser>
          <c:idx val="1"/>
          <c:order val="1"/>
          <c:tx>
            <c:strRef>
              <c:f>'City Research'!$J$18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Research'!$D$19:$D$23</c:f>
              <c:strCache>
                <c:ptCount val="5"/>
                <c:pt idx="0">
                  <c:v>Port Charlotte</c:v>
                </c:pt>
                <c:pt idx="1">
                  <c:v>Punta Gorda</c:v>
                </c:pt>
                <c:pt idx="2">
                  <c:v>Rotonda West</c:v>
                </c:pt>
                <c:pt idx="3">
                  <c:v>Placida</c:v>
                </c:pt>
                <c:pt idx="4">
                  <c:v>Englewood</c:v>
                </c:pt>
              </c:strCache>
            </c:strRef>
          </c:cat>
          <c:val>
            <c:numRef>
              <c:f>'City Research'!$J$19:$J$23</c:f>
              <c:numCache>
                <c:formatCode>General</c:formatCode>
                <c:ptCount val="5"/>
                <c:pt idx="0">
                  <c:v>1819</c:v>
                </c:pt>
                <c:pt idx="1">
                  <c:v>875</c:v>
                </c:pt>
                <c:pt idx="2">
                  <c:v>76</c:v>
                </c:pt>
                <c:pt idx="3">
                  <c:v>0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C-40CD-B43A-851A5CDF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98912"/>
        <c:axId val="189500832"/>
      </c:barChart>
      <c:lineChart>
        <c:grouping val="standard"/>
        <c:varyColors val="0"/>
        <c:ser>
          <c:idx val="2"/>
          <c:order val="2"/>
          <c:tx>
            <c:strRef>
              <c:f>'City Research'!$O$18</c:f>
              <c:strCache>
                <c:ptCount val="1"/>
                <c:pt idx="0">
                  <c:v>Total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0.05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8C-40CD-B43A-851A5CDFB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'City Research'!$O$19:$O$23</c:f>
              <c:numCache>
                <c:formatCode>0.00</c:formatCode>
                <c:ptCount val="5"/>
                <c:pt idx="0">
                  <c:v>0.57490518331226292</c:v>
                </c:pt>
                <c:pt idx="1">
                  <c:v>0.65104166666666663</c:v>
                </c:pt>
                <c:pt idx="2">
                  <c:v>0.33777777777777779</c:v>
                </c:pt>
                <c:pt idx="3">
                  <c:v>0</c:v>
                </c:pt>
                <c:pt idx="4">
                  <c:v>0.60666666666666669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C-40CD-B43A-851A5CDF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749856"/>
        <c:axId val="230749376"/>
      </c:lineChart>
      <c:catAx>
        <c:axId val="18949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500832"/>
        <c:crosses val="autoZero"/>
        <c:auto val="1"/>
        <c:lblAlgn val="ctr"/>
        <c:lblOffset val="100"/>
        <c:noMultiLvlLbl val="0"/>
      </c:catAx>
      <c:valAx>
        <c:axId val="18950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498912"/>
        <c:crosses val="autoZero"/>
        <c:crossBetween val="between"/>
      </c:valAx>
      <c:valAx>
        <c:axId val="23074937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0749856"/>
        <c:crosses val="max"/>
        <c:crossBetween val="between"/>
      </c:valAx>
      <c:catAx>
        <c:axId val="230749856"/>
        <c:scaling>
          <c:orientation val="minMax"/>
        </c:scaling>
        <c:delete val="1"/>
        <c:axPos val="b"/>
        <c:majorTickMark val="out"/>
        <c:minorTickMark val="none"/>
        <c:tickLblPos val="nextTo"/>
        <c:crossAx val="23074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65807</xdr:rowOff>
    </xdr:from>
    <xdr:to>
      <xdr:col>5</xdr:col>
      <xdr:colOff>1143000</xdr:colOff>
      <xdr:row>38</xdr:row>
      <xdr:rowOff>90054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3B4A32-FB79-A147-5043-83828C1F0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996143</xdr:colOff>
      <xdr:row>15</xdr:row>
      <xdr:rowOff>86592</xdr:rowOff>
    </xdr:from>
    <xdr:to>
      <xdr:col>11</xdr:col>
      <xdr:colOff>1627909</xdr:colOff>
      <xdr:row>31</xdr:row>
      <xdr:rowOff>41564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E2EE60-6F75-34E2-429D-F46C5D88B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259079</xdr:colOff>
      <xdr:row>22</xdr:row>
      <xdr:rowOff>37406</xdr:rowOff>
    </xdr:from>
    <xdr:to>
      <xdr:col>5</xdr:col>
      <xdr:colOff>346363</xdr:colOff>
      <xdr:row>39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7A4FFB-7C56-4103-9304-4B2F66D18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953341</xdr:colOff>
      <xdr:row>0</xdr:row>
      <xdr:rowOff>45720</xdr:rowOff>
    </xdr:from>
    <xdr:ext cx="2939651" cy="711670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9E933A1-D5FA-EC18-DD6B-6305CFACB5EA}"/>
            </a:ext>
          </a:extLst>
        </xdr:cNvPr>
        <xdr:cNvSpPr/>
      </xdr:nvSpPr>
      <xdr:spPr>
        <a:xfrm>
          <a:off x="3528901" y="45720"/>
          <a:ext cx="2939651" cy="71167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4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Lee</a:t>
          </a:r>
          <a:r>
            <a:rPr lang="es-ES" sz="42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County</a:t>
          </a:r>
          <a:endParaRPr lang="es-ES" sz="4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34635</xdr:colOff>
      <xdr:row>22</xdr:row>
      <xdr:rowOff>90056</xdr:rowOff>
    </xdr:from>
    <xdr:to>
      <xdr:col>12</xdr:col>
      <xdr:colOff>644235</xdr:colOff>
      <xdr:row>38</xdr:row>
      <xdr:rowOff>119843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4BAE96-84A5-4F49-B7FE-895770632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109903</xdr:colOff>
      <xdr:row>44</xdr:row>
      <xdr:rowOff>12879</xdr:rowOff>
    </xdr:from>
    <xdr:ext cx="3608657" cy="711670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F327AB9-200E-9463-B080-58ACD5FE88F4}"/>
            </a:ext>
          </a:extLst>
        </xdr:cNvPr>
        <xdr:cNvSpPr/>
      </xdr:nvSpPr>
      <xdr:spPr>
        <a:xfrm>
          <a:off x="3714163" y="7434759"/>
          <a:ext cx="3608657" cy="71167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4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Sarasota</a:t>
          </a:r>
        </a:p>
      </xdr:txBody>
    </xdr:sp>
    <xdr:clientData/>
  </xdr:oneCellAnchor>
  <xdr:oneCellAnchor>
    <xdr:from>
      <xdr:col>3</xdr:col>
      <xdr:colOff>236376</xdr:colOff>
      <xdr:row>84</xdr:row>
      <xdr:rowOff>41280</xdr:rowOff>
    </xdr:from>
    <xdr:ext cx="2370200" cy="711670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5150F4B1-A6C9-E4E3-D8F3-5EFB3399E88B}"/>
            </a:ext>
          </a:extLst>
        </xdr:cNvPr>
        <xdr:cNvSpPr/>
      </xdr:nvSpPr>
      <xdr:spPr>
        <a:xfrm>
          <a:off x="3845485" y="14062080"/>
          <a:ext cx="2370200" cy="71167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4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Charlotte</a:t>
          </a:r>
        </a:p>
      </xdr:txBody>
    </xdr:sp>
    <xdr:clientData/>
  </xdr:oneCellAnchor>
  <xdr:twoCellAnchor>
    <xdr:from>
      <xdr:col>0</xdr:col>
      <xdr:colOff>443345</xdr:colOff>
      <xdr:row>4</xdr:row>
      <xdr:rowOff>69273</xdr:rowOff>
    </xdr:from>
    <xdr:to>
      <xdr:col>4</xdr:col>
      <xdr:colOff>408709</xdr:colOff>
      <xdr:row>20</xdr:row>
      <xdr:rowOff>152400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1AAA986-38A5-40C2-A4D5-C6F734E7F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401783</xdr:colOff>
      <xdr:row>4</xdr:row>
      <xdr:rowOff>145473</xdr:rowOff>
    </xdr:from>
    <xdr:to>
      <xdr:col>11</xdr:col>
      <xdr:colOff>235528</xdr:colOff>
      <xdr:row>21</xdr:row>
      <xdr:rowOff>62345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63A13E7-8CDD-4AA8-9AAC-F29C9780C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180109</xdr:colOff>
      <xdr:row>47</xdr:row>
      <xdr:rowOff>90053</xdr:rowOff>
    </xdr:from>
    <xdr:to>
      <xdr:col>4</xdr:col>
      <xdr:colOff>145473</xdr:colOff>
      <xdr:row>64</xdr:row>
      <xdr:rowOff>6926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784D45-1680-427F-AC28-F430FD173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256308</xdr:colOff>
      <xdr:row>47</xdr:row>
      <xdr:rowOff>124690</xdr:rowOff>
    </xdr:from>
    <xdr:to>
      <xdr:col>11</xdr:col>
      <xdr:colOff>90053</xdr:colOff>
      <xdr:row>64</xdr:row>
      <xdr:rowOff>41563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C61097-21CE-4923-B70F-0750FF115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214745</xdr:colOff>
      <xdr:row>65</xdr:row>
      <xdr:rowOff>83127</xdr:rowOff>
    </xdr:from>
    <xdr:to>
      <xdr:col>4</xdr:col>
      <xdr:colOff>180109</xdr:colOff>
      <xdr:row>82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D82E971-5875-49D0-9A7D-28CC8D6D2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374073</xdr:colOff>
      <xdr:row>88</xdr:row>
      <xdr:rowOff>20783</xdr:rowOff>
    </xdr:from>
    <xdr:to>
      <xdr:col>11</xdr:col>
      <xdr:colOff>207818</xdr:colOff>
      <xdr:row>104</xdr:row>
      <xdr:rowOff>103910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13C525F-D130-4568-8428-3AAF25A1B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34637</xdr:rowOff>
    </xdr:from>
    <xdr:to>
      <xdr:col>3</xdr:col>
      <xdr:colOff>962891</xdr:colOff>
      <xdr:row>104</xdr:row>
      <xdr:rowOff>117764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F011741-AAD1-4F00-B1EC-B3E36693D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76200</xdr:colOff>
      <xdr:row>106</xdr:row>
      <xdr:rowOff>13855</xdr:rowOff>
    </xdr:from>
    <xdr:to>
      <xdr:col>4</xdr:col>
      <xdr:colOff>41564</xdr:colOff>
      <xdr:row>122</xdr:row>
      <xdr:rowOff>96982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322E7F2-C082-4820-A76E-5CE6BE1D9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Garcia Rojas" refreshedDate="45478.004903240741" createdVersion="8" refreshedVersion="8" minRefreshableVersion="3" recordCount="50" xr:uid="{DEE48452-23E0-4370-A501-6041716EBADA}">
  <cacheSource type="worksheet">
    <worksheetSource name="Tabla1"/>
  </cacheSource>
  <cacheFields count="24">
    <cacheField name="Date " numFmtId="165">
      <sharedItems containsSemiMixedTypes="0" containsNonDate="0" containsDate="1" containsString="0" minDate="2024-05-13T00:00:00" maxDate="2024-05-21T00:00:00"/>
    </cacheField>
    <cacheField name="County" numFmtId="0">
      <sharedItems count="10">
        <s v="Lee County"/>
        <s v="Charlotte County"/>
        <s v="Citrus"/>
        <s v="Sarasota"/>
        <s v="Hernando"/>
        <s v="Marion County"/>
        <s v="Polk "/>
        <s v="Volusia"/>
        <s v="Collier "/>
        <s v="Santa Rosa"/>
      </sharedItems>
    </cacheField>
    <cacheField name="City" numFmtId="0">
      <sharedItems count="49">
        <s v="Lehigh Acres"/>
        <s v="Cape Coral"/>
        <s v="Fort Myers"/>
        <s v="North Fort Myers"/>
        <s v="Bonita Springs"/>
        <s v="Port Charlotte"/>
        <s v="Punta Gorda"/>
        <s v="Rotonda West"/>
        <s v="Placida"/>
        <s v="Englewood"/>
        <s v="Inverness"/>
        <s v="Homosassa"/>
        <s v="Crystal River"/>
        <s v="Hernando"/>
        <s v="Citrus Springs"/>
        <s v="North Port"/>
        <s v="Sarasota"/>
        <s v="Nokomis"/>
        <s v="Venice"/>
        <s v="Brooksville"/>
        <s v="Weeki Wachee"/>
        <s v="Spring Hill"/>
        <s v="Hernando Beach"/>
        <s v="Webster"/>
        <s v="Ocala"/>
        <s v="Dunnellon"/>
        <s v="Summerfield"/>
        <s v="Ocklawaha"/>
        <s v="Fort Mc Coy"/>
        <s v="Lakeland"/>
        <s v="Davenport"/>
        <s v="Haines City"/>
        <s v="Lake Wales"/>
        <s v="Auburndale"/>
        <s v="Ormond Beach"/>
        <s v="New Smyrna Beach"/>
        <s v="Deland"/>
        <s v="Daytona Beach"/>
        <s v="Deltona"/>
        <s v="Naples"/>
        <s v="Marco Island"/>
        <s v="Ave Maria"/>
        <s v="Immokalee"/>
        <s v="Everglades City"/>
        <s v="Milton"/>
        <s v="Pace"/>
        <s v="Gulf Breeze"/>
        <s v="Navarre"/>
        <s v="Jay"/>
      </sharedItems>
    </cacheField>
    <cacheField name="Total Supply" numFmtId="0">
      <sharedItems containsSemiMixedTypes="0" containsString="0" containsNumber="1" containsInteger="1" minValue="0" maxValue="3164"/>
    </cacheField>
    <cacheField name="Supply 0-1 Acres" numFmtId="0">
      <sharedItems containsSemiMixedTypes="0" containsString="0" containsNumber="1" containsInteger="1" minValue="0" maxValue="3141"/>
    </cacheField>
    <cacheField name="Supply 1-3 Acres" numFmtId="0">
      <sharedItems containsSemiMixedTypes="0" containsString="0" containsNumber="1" containsInteger="1" minValue="0" maxValue="269"/>
    </cacheField>
    <cacheField name="Supply 3-5  Acres" numFmtId="0">
      <sharedItems containsSemiMixedTypes="0" containsString="0" containsNumber="1" containsInteger="1" minValue="0" maxValue="40"/>
    </cacheField>
    <cacheField name="Supply 5+ Acres" numFmtId="0">
      <sharedItems containsSemiMixedTypes="0" containsString="0" containsNumber="1" containsInteger="1" minValue="0" maxValue="86"/>
    </cacheField>
    <cacheField name="Total Demand" numFmtId="0">
      <sharedItems containsSemiMixedTypes="0" containsString="0" containsNumber="1" containsInteger="1" minValue="0" maxValue="2169"/>
    </cacheField>
    <cacheField name="Demand 0-1 Acres" numFmtId="0">
      <sharedItems containsSemiMixedTypes="0" containsString="0" containsNumber="1" containsInteger="1" minValue="0" maxValue="2138"/>
    </cacheField>
    <cacheField name="Demand 1-3 Acres" numFmtId="0">
      <sharedItems containsSemiMixedTypes="0" containsString="0" containsNumber="1" containsInteger="1" minValue="0" maxValue="217"/>
    </cacheField>
    <cacheField name="Demand 3-5 Acres" numFmtId="0">
      <sharedItems containsSemiMixedTypes="0" containsString="0" containsNumber="1" containsInteger="1" minValue="0" maxValue="31"/>
    </cacheField>
    <cacheField name="Demand 5+ Acres" numFmtId="0">
      <sharedItems containsSemiMixedTypes="0" containsString="0" containsNumber="1" containsInteger="1" minValue="0" maxValue="47"/>
    </cacheField>
    <cacheField name="Total Ratio" numFmtId="0">
      <sharedItems containsSemiMixedTypes="0" containsString="0" containsNumber="1" minValue="0" maxValue="3"/>
    </cacheField>
    <cacheField name="Ratio 0-1 Acres" numFmtId="0">
      <sharedItems containsSemiMixedTypes="0" containsString="0" containsNumber="1" minValue="0" maxValue="3"/>
    </cacheField>
    <cacheField name="Ratio 1-3 Acres" numFmtId="0">
      <sharedItems containsSemiMixedTypes="0" containsString="0" containsNumber="1" minValue="0" maxValue="2"/>
    </cacheField>
    <cacheField name="Ratio 3-5 Acres" numFmtId="0">
      <sharedItems containsSemiMixedTypes="0" containsString="0" containsNumber="1" minValue="0" maxValue="3" count="24">
        <n v="0"/>
        <n v="1"/>
        <n v="0.7142857142857143"/>
        <n v="1.25"/>
        <n v="1.3333333333333333"/>
        <n v="0.77500000000000002"/>
        <n v="0.33333333333333331"/>
        <n v="0.5"/>
        <n v="1.4"/>
        <n v="0.25"/>
        <n v="2"/>
        <n v="0.35714285714285715"/>
        <n v="1.1428571428571428"/>
        <n v="0.66666666666666663"/>
        <n v="0.44444444444444442"/>
        <n v="1.2"/>
        <n v="1.625"/>
        <n v="3"/>
        <n v="0.2857142857142857"/>
        <n v="0.41176470588235292"/>
        <n v="0.14285714285714285"/>
        <n v="0.6875"/>
        <n v="0.42307692307692307"/>
        <n v="0.70833333333333337"/>
      </sharedItems>
    </cacheField>
    <cacheField name="Ratio 5+ Acres" numFmtId="0">
      <sharedItems containsSemiMixedTypes="0" containsString="0" containsNumber="1" minValue="0" maxValue="3"/>
    </cacheField>
    <cacheField name="Population Size" numFmtId="0">
      <sharedItems containsString="0" containsBlank="1" containsNumber="1" containsInteger="1" minValue="0" maxValue="193003"/>
    </cacheField>
    <cacheField name="Crime Rate (%)" numFmtId="0">
      <sharedItems containsSemiMixedTypes="0" containsString="0" containsNumber="1" minValue="0" maxValue="9.509999999999999E-2"/>
    </cacheField>
    <cacheField name="Job Growth" numFmtId="0">
      <sharedItems containsMixedTypes="1" containsNumber="1" minValue="0" maxValue="0.47499999999999998"/>
    </cacheField>
    <cacheField name="Campo1" numFmtId="0" formula="'Total Demand'/'Total Supply'" databaseField="0"/>
    <cacheField name="Ratios 0-1 Acres" numFmtId="0" formula="'Demand 0-1 Acres'/'Supply 0-1 Acres'" databaseField="0"/>
    <cacheField name="Ratio 1-3 Acre" numFmtId="0" formula="'Demand 1-3 Acres'/'Supply 1-3 Acr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4-05-13T00:00:00"/>
    <x v="0"/>
    <x v="0"/>
    <n v="2281"/>
    <n v="2242"/>
    <n v="25"/>
    <n v="3"/>
    <n v="11"/>
    <n v="2169"/>
    <n v="2138"/>
    <n v="27"/>
    <n v="0"/>
    <n v="4"/>
    <n v="0.95089872862779479"/>
    <n v="0.95361284567350579"/>
    <n v="1.08"/>
    <x v="0"/>
    <n v="0.36363636363636365"/>
    <n v="123751"/>
    <n v="5.2700000000000004E-2"/>
    <n v="0.41600000000000004"/>
  </r>
  <r>
    <d v="2024-05-13T00:00:00"/>
    <x v="0"/>
    <x v="1"/>
    <n v="2208"/>
    <n v="2183"/>
    <n v="12"/>
    <n v="2"/>
    <n v="11"/>
    <n v="1569"/>
    <n v="1556"/>
    <n v="3"/>
    <n v="2"/>
    <n v="8"/>
    <n v="0.71059782608695654"/>
    <n v="0.71278057718735688"/>
    <n v="0.25"/>
    <x v="1"/>
    <n v="0.72727272727272729"/>
    <n v="193003"/>
    <n v="2.8399999999999998E-2"/>
    <n v="0.41"/>
  </r>
  <r>
    <d v="2024-05-13T00:00:00"/>
    <x v="0"/>
    <x v="2"/>
    <n v="337"/>
    <n v="291"/>
    <n v="24"/>
    <n v="7"/>
    <n v="15"/>
    <n v="313"/>
    <n v="266"/>
    <n v="28"/>
    <n v="5"/>
    <n v="14"/>
    <n v="0.92878338278931749"/>
    <n v="0.91408934707903777"/>
    <n v="1.1666666666666667"/>
    <x v="2"/>
    <n v="0.93333333333333335"/>
    <n v="84694"/>
    <n v="4.3900000000000002E-2"/>
    <n v="0.44"/>
  </r>
  <r>
    <d v="2024-05-13T00:00:00"/>
    <x v="0"/>
    <x v="3"/>
    <n v="111"/>
    <n v="80"/>
    <n v="11"/>
    <n v="4"/>
    <n v="16"/>
    <n v="99"/>
    <n v="80"/>
    <n v="8"/>
    <n v="5"/>
    <n v="6"/>
    <n v="0.89189189189189189"/>
    <n v="1"/>
    <n v="0.72727272727272729"/>
    <x v="3"/>
    <n v="0.375"/>
    <n v="41551"/>
    <n v="4.6799999999999994E-2"/>
    <n v="0.41600000000000004"/>
  </r>
  <r>
    <d v="2024-05-13T00:00:00"/>
    <x v="0"/>
    <x v="4"/>
    <n v="92"/>
    <n v="67"/>
    <n v="20"/>
    <n v="3"/>
    <n v="2"/>
    <n v="47"/>
    <n v="29"/>
    <n v="11"/>
    <n v="4"/>
    <n v="3"/>
    <n v="0.51086956521739135"/>
    <n v="0.43283582089552236"/>
    <n v="0.55000000000000004"/>
    <x v="4"/>
    <n v="1.5"/>
    <n v="53017"/>
    <n v="4.7299999999999995E-2"/>
    <n v="0.46"/>
  </r>
  <r>
    <d v="2024-05-14T00:00:00"/>
    <x v="1"/>
    <x v="5"/>
    <n v="3164"/>
    <n v="3141"/>
    <n v="15"/>
    <n v="2"/>
    <n v="6"/>
    <n v="1819"/>
    <n v="1813"/>
    <n v="5"/>
    <n v="0"/>
    <n v="1"/>
    <n v="0.57490518331226292"/>
    <n v="0.57720471187519895"/>
    <n v="0.33333333333333331"/>
    <x v="0"/>
    <n v="0.16666666666666666"/>
    <n v="62531"/>
    <n v="5.28E-2"/>
    <n v="0.38900000000000001"/>
  </r>
  <r>
    <d v="2024-05-14T00:00:00"/>
    <x v="1"/>
    <x v="6"/>
    <n v="1344"/>
    <n v="1137"/>
    <n v="81"/>
    <n v="40"/>
    <n v="86"/>
    <n v="875"/>
    <n v="747"/>
    <n v="50"/>
    <n v="31"/>
    <n v="47"/>
    <n v="0.65104166666666663"/>
    <n v="0.65699208443271773"/>
    <n v="0.61728395061728392"/>
    <x v="5"/>
    <n v="0.54651162790697672"/>
    <n v="19230"/>
    <n v="2.3300000000000001E-2"/>
    <n v="0.38900000000000001"/>
  </r>
  <r>
    <d v="2024-05-15T00:00:00"/>
    <x v="1"/>
    <x v="7"/>
    <n v="225"/>
    <n v="217"/>
    <n v="6"/>
    <n v="1"/>
    <n v="1"/>
    <n v="76"/>
    <n v="76"/>
    <n v="0"/>
    <n v="0"/>
    <n v="0"/>
    <n v="0.33777777777777779"/>
    <n v="0.35023041474654376"/>
    <n v="0"/>
    <x v="0"/>
    <n v="0"/>
    <n v="9906"/>
    <n v="3.2100000000000004E-2"/>
    <n v="0.38900000000000001"/>
  </r>
  <r>
    <d v="2024-05-15T00:00:00"/>
    <x v="1"/>
    <x v="8"/>
    <n v="0"/>
    <n v="0"/>
    <n v="0"/>
    <n v="0"/>
    <n v="0"/>
    <n v="0"/>
    <n v="0"/>
    <n v="0"/>
    <n v="0"/>
    <n v="0"/>
    <n v="0"/>
    <n v="0"/>
    <n v="0"/>
    <x v="0"/>
    <n v="0"/>
    <n v="0"/>
    <n v="0"/>
    <n v="0"/>
  </r>
  <r>
    <d v="2024-05-15T00:00:00"/>
    <x v="1"/>
    <x v="9"/>
    <n v="300"/>
    <n v="278"/>
    <n v="7"/>
    <n v="8"/>
    <n v="7"/>
    <n v="182"/>
    <n v="178"/>
    <n v="2"/>
    <n v="0"/>
    <n v="2"/>
    <n v="0.60666666666666669"/>
    <n v="0.64028776978417268"/>
    <n v="0.2857142857142857"/>
    <x v="0"/>
    <n v="0.2857142857142857"/>
    <n v="19683"/>
    <n v="4.9600000000000002E-4"/>
    <n v="0.42200000000000004"/>
  </r>
  <r>
    <d v="2024-05-15T00:00:00"/>
    <x v="2"/>
    <x v="10"/>
    <n v="287"/>
    <n v="261"/>
    <n v="20"/>
    <n v="3"/>
    <n v="3"/>
    <n v="203"/>
    <n v="175"/>
    <n v="24"/>
    <n v="1"/>
    <n v="3"/>
    <n v="0.70731707317073167"/>
    <n v="0.67049808429118773"/>
    <n v="1.2"/>
    <x v="6"/>
    <n v="1"/>
    <n v="7423"/>
    <n v="4.0799999999999996E-2"/>
    <n v="0.28999999999999998"/>
  </r>
  <r>
    <d v="2024-05-15T00:00:00"/>
    <x v="2"/>
    <x v="11"/>
    <n v="211"/>
    <n v="173"/>
    <n v="16"/>
    <n v="10"/>
    <n v="12"/>
    <n v="202"/>
    <n v="162"/>
    <n v="27"/>
    <n v="5"/>
    <n v="8"/>
    <n v="0.95734597156398105"/>
    <n v="0.93641618497109824"/>
    <n v="1.6875"/>
    <x v="7"/>
    <n v="0.66666666666666663"/>
    <n v="1888"/>
    <n v="3.2899999999999999E-2"/>
    <n v="0.28999999999999998"/>
  </r>
  <r>
    <d v="2024-05-15T00:00:00"/>
    <x v="2"/>
    <x v="12"/>
    <n v="233"/>
    <n v="138"/>
    <n v="76"/>
    <n v="5"/>
    <n v="14"/>
    <n v="161"/>
    <n v="68"/>
    <n v="80"/>
    <n v="7"/>
    <n v="6"/>
    <n v="0.69098712446351929"/>
    <n v="0.49275362318840582"/>
    <n v="1.0526315789473684"/>
    <x v="8"/>
    <n v="0.42857142857142855"/>
    <n v="3291"/>
    <n v="9.509999999999999E-2"/>
    <n v="0.28999999999999998"/>
  </r>
  <r>
    <d v="2024-05-15T00:00:00"/>
    <x v="2"/>
    <x v="13"/>
    <n v="119"/>
    <n v="66"/>
    <n v="42"/>
    <n v="4"/>
    <n v="7"/>
    <n v="113"/>
    <n v="53"/>
    <n v="56"/>
    <n v="1"/>
    <n v="3"/>
    <n v="0.94957983193277307"/>
    <n v="0.80303030303030298"/>
    <n v="1.3333333333333333"/>
    <x v="9"/>
    <n v="0.42857142857142855"/>
    <n v="9530"/>
    <n v="3.9199999999999999E-2"/>
    <n v="0.28999999999999998"/>
  </r>
  <r>
    <d v="2024-05-15T00:00:00"/>
    <x v="2"/>
    <x v="14"/>
    <n v="331"/>
    <n v="308"/>
    <n v="18"/>
    <n v="1"/>
    <n v="4"/>
    <n v="716"/>
    <n v="696"/>
    <n v="18"/>
    <n v="2"/>
    <n v="0"/>
    <n v="2.1631419939577041"/>
    <n v="2.2597402597402598"/>
    <n v="1"/>
    <x v="10"/>
    <n v="0"/>
    <n v="10162"/>
    <n v="3.6600000000000001E-2"/>
    <n v="0.28999999999999998"/>
  </r>
  <r>
    <d v="2024-05-16T00:00:00"/>
    <x v="3"/>
    <x v="15"/>
    <n v="1855"/>
    <n v="1813"/>
    <n v="13"/>
    <n v="14"/>
    <n v="15"/>
    <n v="1408"/>
    <n v="1390"/>
    <n v="8"/>
    <n v="5"/>
    <n v="5"/>
    <n v="0.75902964959568731"/>
    <n v="0.76668505239933815"/>
    <n v="0.61538461538461542"/>
    <x v="11"/>
    <n v="0.33333333333333331"/>
    <n v="74131"/>
    <n v="2.3300000000000001E-2"/>
    <n v="0.44700000000000001"/>
  </r>
  <r>
    <d v="2024-05-16T00:00:00"/>
    <x v="3"/>
    <x v="16"/>
    <n v="107"/>
    <n v="76"/>
    <n v="18"/>
    <n v="7"/>
    <n v="6"/>
    <n v="76"/>
    <n v="54"/>
    <n v="6"/>
    <n v="8"/>
    <n v="8"/>
    <n v="0.71028037383177567"/>
    <n v="0.71052631578947367"/>
    <n v="0.33333333333333331"/>
    <x v="12"/>
    <n v="1.3333333333333333"/>
    <n v="53786"/>
    <n v="6.0299999999999999E-2"/>
    <n v="0.44600000000000001"/>
  </r>
  <r>
    <d v="2024-05-16T00:00:00"/>
    <x v="3"/>
    <x v="9"/>
    <n v="299"/>
    <n v="278"/>
    <n v="7"/>
    <n v="8"/>
    <n v="6"/>
    <n v="182"/>
    <n v="178"/>
    <n v="2"/>
    <n v="0"/>
    <n v="2"/>
    <n v="0.60869565217391308"/>
    <n v="0.64028776978417268"/>
    <n v="0.2857142857142857"/>
    <x v="0"/>
    <n v="0.33333333333333331"/>
    <n v="19683"/>
    <n v="4.9599999999999998E-2"/>
    <n v="0.42200000000000004"/>
  </r>
  <r>
    <d v="2024-05-16T00:00:00"/>
    <x v="3"/>
    <x v="17"/>
    <n v="30"/>
    <n v="25"/>
    <n v="5"/>
    <n v="0"/>
    <n v="0"/>
    <n v="18"/>
    <n v="16"/>
    <n v="0"/>
    <n v="1"/>
    <n v="1"/>
    <n v="0.6"/>
    <n v="0.64"/>
    <n v="0"/>
    <x v="0"/>
    <n v="0"/>
    <n v="3481"/>
    <n v="4.65E-2"/>
    <n v="0.42200000000000004"/>
  </r>
  <r>
    <d v="2024-05-16T00:00:00"/>
    <x v="3"/>
    <x v="18"/>
    <n v="72"/>
    <n v="56"/>
    <n v="5"/>
    <n v="3"/>
    <n v="8"/>
    <n v="54"/>
    <n v="44"/>
    <n v="0"/>
    <n v="2"/>
    <n v="8"/>
    <n v="0.75"/>
    <n v="0.7857142857142857"/>
    <n v="0"/>
    <x v="13"/>
    <n v="1"/>
    <n v="24876"/>
    <n v="2.7600000000000003E-2"/>
    <n v="0.42200000000000004"/>
  </r>
  <r>
    <d v="2024-05-16T00:00:00"/>
    <x v="4"/>
    <x v="19"/>
    <n v="392"/>
    <n v="235"/>
    <n v="79"/>
    <n v="27"/>
    <n v="51"/>
    <n v="232"/>
    <n v="163"/>
    <n v="39"/>
    <n v="12"/>
    <n v="18"/>
    <n v="0.59183673469387754"/>
    <n v="0.69361702127659575"/>
    <n v="0.49367088607594939"/>
    <x v="14"/>
    <n v="0.35294117647058826"/>
    <n v="8735"/>
    <n v="5.4600000000000003E-2"/>
    <n v="0.42399999999999999"/>
  </r>
  <r>
    <d v="2024-05-16T00:00:00"/>
    <x v="4"/>
    <x v="20"/>
    <n v="1"/>
    <n v="0"/>
    <n v="1"/>
    <n v="0"/>
    <n v="0"/>
    <n v="3"/>
    <n v="3"/>
    <n v="0"/>
    <n v="0"/>
    <n v="0"/>
    <n v="3"/>
    <n v="0"/>
    <n v="0"/>
    <x v="0"/>
    <n v="0"/>
    <n v="877"/>
    <n v="3.5400000000000001E-2"/>
    <n v="0.30459999999999998"/>
  </r>
  <r>
    <d v="2024-05-16T00:00:00"/>
    <x v="4"/>
    <x v="21"/>
    <n v="262"/>
    <n v="196"/>
    <n v="31"/>
    <n v="18"/>
    <n v="17"/>
    <n v="244"/>
    <n v="204"/>
    <n v="28"/>
    <n v="8"/>
    <n v="4"/>
    <n v="0.93129770992366412"/>
    <n v="1.0408163265306123"/>
    <n v="0.90322580645161288"/>
    <x v="14"/>
    <n v="0.23529411764705882"/>
    <n v="63"/>
    <n v="3.5200000000000002E-2"/>
    <n v="0.43200000000000005"/>
  </r>
  <r>
    <d v="2024-05-16T00:00:00"/>
    <x v="4"/>
    <x v="22"/>
    <n v="74"/>
    <n v="73"/>
    <n v="1"/>
    <n v="0"/>
    <n v="0"/>
    <n v="38"/>
    <n v="38"/>
    <n v="0"/>
    <n v="0"/>
    <n v="0"/>
    <n v="0.51351351351351349"/>
    <n v="0.52054794520547942"/>
    <n v="0"/>
    <x v="0"/>
    <n v="0"/>
    <n v="9530"/>
    <n v="3.9199999999999999E-2"/>
    <n v="0.28999999999999998"/>
  </r>
  <r>
    <d v="2024-05-16T00:00:00"/>
    <x v="4"/>
    <x v="23"/>
    <n v="138"/>
    <n v="70"/>
    <n v="55"/>
    <n v="3"/>
    <n v="10"/>
    <n v="119"/>
    <n v="51"/>
    <n v="57"/>
    <n v="3"/>
    <n v="8"/>
    <n v="0.8623188405797102"/>
    <n v="0.72857142857142854"/>
    <n v="1.0363636363636364"/>
    <x v="1"/>
    <n v="0.8"/>
    <n v="1025"/>
    <n v="3.5900000000000001E-2"/>
    <n v="0.42899999999999999"/>
  </r>
  <r>
    <d v="2024-05-16T00:00:00"/>
    <x v="5"/>
    <x v="24"/>
    <n v="673"/>
    <n v="488"/>
    <n v="80"/>
    <n v="27"/>
    <n v="78"/>
    <n v="930"/>
    <n v="806"/>
    <n v="79"/>
    <n v="18"/>
    <n v="27"/>
    <n v="1.3818722139673105"/>
    <n v="1.651639344262295"/>
    <n v="0.98750000000000004"/>
    <x v="13"/>
    <n v="0.34615384615384615"/>
    <n v="62351"/>
    <n v="7.2400000000000006E-2"/>
    <n v="0.376"/>
  </r>
  <r>
    <d v="2024-05-16T00:00:00"/>
    <x v="5"/>
    <x v="25"/>
    <n v="807"/>
    <n v="645"/>
    <n v="122"/>
    <n v="10"/>
    <n v="30"/>
    <n v="1207"/>
    <n v="1015"/>
    <n v="160"/>
    <n v="12"/>
    <n v="20"/>
    <n v="1.4956629491945477"/>
    <n v="1.5736434108527131"/>
    <n v="1.3114754098360655"/>
    <x v="15"/>
    <n v="0.66666666666666663"/>
    <n v="2262"/>
    <n v="7.4400000000000008E-2"/>
    <n v="0.371"/>
  </r>
  <r>
    <d v="2024-05-16T00:00:00"/>
    <x v="5"/>
    <x v="26"/>
    <n v="0"/>
    <n v="0"/>
    <n v="0"/>
    <n v="0"/>
    <n v="0"/>
    <n v="0"/>
    <n v="0"/>
    <n v="0"/>
    <n v="0"/>
    <n v="0"/>
    <n v="0"/>
    <n v="0"/>
    <n v="0"/>
    <x v="0"/>
    <n v="0"/>
    <m/>
    <n v="0"/>
    <n v="0"/>
  </r>
  <r>
    <d v="2024-05-17T00:00:00"/>
    <x v="5"/>
    <x v="27"/>
    <n v="9"/>
    <n v="5"/>
    <n v="0"/>
    <n v="1"/>
    <n v="3"/>
    <n v="1"/>
    <n v="0"/>
    <n v="1"/>
    <n v="0"/>
    <n v="0"/>
    <n v="0.1111111111111111"/>
    <n v="0"/>
    <n v="0"/>
    <x v="0"/>
    <n v="0"/>
    <n v="1874"/>
    <n v="3.44E-2"/>
    <s v="No data"/>
  </r>
  <r>
    <d v="2024-05-17T00:00:00"/>
    <x v="5"/>
    <x v="28"/>
    <n v="28"/>
    <n v="20"/>
    <n v="0"/>
    <n v="2"/>
    <n v="6"/>
    <n v="4"/>
    <n v="4"/>
    <n v="0"/>
    <n v="0"/>
    <n v="0"/>
    <n v="0.14285714285714285"/>
    <n v="0.2"/>
    <n v="0"/>
    <x v="0"/>
    <n v="0"/>
    <m/>
    <n v="0"/>
    <n v="0"/>
  </r>
  <r>
    <d v="2024-05-17T00:00:00"/>
    <x v="6"/>
    <x v="29"/>
    <n v="81"/>
    <n v="37"/>
    <n v="21"/>
    <n v="8"/>
    <n v="15"/>
    <n v="107"/>
    <n v="68"/>
    <n v="12"/>
    <n v="13"/>
    <n v="14"/>
    <n v="1.3209876543209877"/>
    <n v="1.8378378378378379"/>
    <n v="0.5714285714285714"/>
    <x v="16"/>
    <n v="0.93333333333333335"/>
    <n v="110401"/>
    <n v="6.6700000000000009E-2"/>
    <n v="0.42499999999999999"/>
  </r>
  <r>
    <d v="2024-05-17T00:00:00"/>
    <x v="6"/>
    <x v="30"/>
    <n v="55"/>
    <n v="18"/>
    <n v="20"/>
    <n v="6"/>
    <n v="11"/>
    <n v="67"/>
    <n v="54"/>
    <n v="6"/>
    <n v="2"/>
    <n v="5"/>
    <n v="1.2181818181818183"/>
    <n v="3"/>
    <n v="0.3"/>
    <x v="6"/>
    <n v="0.45454545454545453"/>
    <n v="9049"/>
    <n v="2.8899999999999999E-2"/>
    <n v="0.43700000000000006"/>
  </r>
  <r>
    <d v="2024-05-17T00:00:00"/>
    <x v="6"/>
    <x v="31"/>
    <n v="46"/>
    <n v="21"/>
    <n v="9"/>
    <n v="1"/>
    <n v="15"/>
    <n v="72"/>
    <n v="58"/>
    <n v="5"/>
    <n v="3"/>
    <n v="6"/>
    <n v="1.5652173913043479"/>
    <n v="2.7619047619047619"/>
    <n v="0.55555555555555558"/>
    <x v="17"/>
    <n v="0.4"/>
    <n v="26510"/>
    <n v="3.6999999999999998E-2"/>
    <n v="0.43700000000000006"/>
  </r>
  <r>
    <d v="2024-05-17T00:00:00"/>
    <x v="6"/>
    <x v="32"/>
    <n v="273"/>
    <n v="170"/>
    <n v="61"/>
    <n v="7"/>
    <n v="35"/>
    <n v="225"/>
    <n v="162"/>
    <n v="44"/>
    <n v="2"/>
    <n v="17"/>
    <n v="0.82417582417582413"/>
    <n v="0.95294117647058818"/>
    <n v="0.72131147540983609"/>
    <x v="18"/>
    <n v="0.48571428571428571"/>
    <n v="16173"/>
    <n v="5.11E-2"/>
    <n v="0.43700000000000006"/>
  </r>
  <r>
    <d v="2024-05-17T00:00:00"/>
    <x v="6"/>
    <x v="33"/>
    <n v="75"/>
    <n v="67"/>
    <n v="4"/>
    <n v="3"/>
    <n v="1"/>
    <n v="38"/>
    <n v="33"/>
    <n v="2"/>
    <n v="1"/>
    <n v="2"/>
    <n v="0.50666666666666671"/>
    <n v="0.4925373134328358"/>
    <n v="0.5"/>
    <x v="6"/>
    <n v="2"/>
    <n v="15704"/>
    <n v="5.7399999999999993E-2"/>
    <n v="0.43700000000000006"/>
  </r>
  <r>
    <d v="2024-05-17T00:00:00"/>
    <x v="7"/>
    <x v="34"/>
    <n v="46"/>
    <n v="24"/>
    <n v="5"/>
    <n v="3"/>
    <n v="14"/>
    <n v="47"/>
    <n v="29"/>
    <n v="10"/>
    <n v="3"/>
    <n v="5"/>
    <n v="1.0217391304347827"/>
    <n v="1.2083333333333333"/>
    <n v="2"/>
    <x v="1"/>
    <n v="0.35714285714285715"/>
    <n v="42707"/>
    <n v="5.3000000000000005E-2"/>
    <n v="0.44600000000000001"/>
  </r>
  <r>
    <d v="2024-05-17T00:00:00"/>
    <x v="7"/>
    <x v="35"/>
    <n v="81"/>
    <n v="53"/>
    <n v="15"/>
    <n v="5"/>
    <n v="8"/>
    <n v="75"/>
    <n v="37"/>
    <n v="23"/>
    <n v="7"/>
    <n v="8"/>
    <n v="0.92592592592592593"/>
    <n v="0.69811320754716977"/>
    <n v="1.5333333333333334"/>
    <x v="8"/>
    <n v="1"/>
    <n v="29674"/>
    <n v="4.8599999999999997E-2"/>
    <n v="0.42899999999999999"/>
  </r>
  <r>
    <d v="2024-05-17T00:00:00"/>
    <x v="7"/>
    <x v="36"/>
    <n v="143"/>
    <n v="62"/>
    <n v="39"/>
    <n v="17"/>
    <n v="25"/>
    <n v="145"/>
    <n v="102"/>
    <n v="26"/>
    <n v="7"/>
    <n v="10"/>
    <n v="1.013986013986014"/>
    <n v="1.6451612903225807"/>
    <n v="0.66666666666666663"/>
    <x v="19"/>
    <n v="0.4"/>
    <n v="36528"/>
    <n v="6.1899999999999997E-2"/>
    <n v="0.47499999999999998"/>
  </r>
  <r>
    <d v="2024-05-17T00:00:00"/>
    <x v="7"/>
    <x v="37"/>
    <n v="81"/>
    <n v="62"/>
    <n v="5"/>
    <n v="9"/>
    <n v="5"/>
    <n v="43"/>
    <n v="39"/>
    <n v="3"/>
    <n v="0"/>
    <n v="1"/>
    <n v="0.53086419753086422"/>
    <n v="0.62903225806451613"/>
    <n v="0.6"/>
    <x v="0"/>
    <n v="0.2"/>
    <n v="71041"/>
    <n v="8.5800000000000001E-2"/>
    <n v="0.433"/>
  </r>
  <r>
    <d v="2024-05-17T00:00:00"/>
    <x v="7"/>
    <x v="38"/>
    <n v="136"/>
    <n v="93"/>
    <n v="26"/>
    <n v="7"/>
    <n v="10"/>
    <n v="68"/>
    <n v="57"/>
    <n v="8"/>
    <n v="1"/>
    <n v="2"/>
    <n v="0.5"/>
    <n v="0.61290322580645162"/>
    <n v="0.30769230769230771"/>
    <x v="20"/>
    <n v="0.2"/>
    <n v="93464"/>
    <n v="5.2700000000000004E-2"/>
    <n v="0.42"/>
  </r>
  <r>
    <d v="2024-05-20T00:00:00"/>
    <x v="8"/>
    <x v="39"/>
    <n v="569"/>
    <n v="228"/>
    <n v="269"/>
    <n v="32"/>
    <n v="40"/>
    <n v="507"/>
    <n v="234"/>
    <n v="217"/>
    <n v="22"/>
    <n v="34"/>
    <n v="0.89103690685413006"/>
    <n v="1.0263157894736843"/>
    <n v="0.80669144981412644"/>
    <x v="21"/>
    <n v="0.85"/>
    <n v="19187"/>
    <n v="3.44E-2"/>
    <n v="0.39299999999999996"/>
  </r>
  <r>
    <d v="2024-05-20T00:00:00"/>
    <x v="8"/>
    <x v="40"/>
    <n v="90"/>
    <n v="87"/>
    <n v="3"/>
    <n v="0"/>
    <n v="0"/>
    <n v="28"/>
    <n v="28"/>
    <n v="0"/>
    <n v="0"/>
    <n v="0"/>
    <n v="0.31111111111111112"/>
    <n v="0.32183908045977011"/>
    <n v="0"/>
    <x v="0"/>
    <n v="0"/>
    <n v="15929"/>
    <n v="1.6E-2"/>
    <n v="0.39299999999999996"/>
  </r>
  <r>
    <d v="2024-05-20T00:00:00"/>
    <x v="8"/>
    <x v="41"/>
    <n v="0"/>
    <n v="0"/>
    <n v="0"/>
    <n v="0"/>
    <n v="0"/>
    <n v="3"/>
    <n v="2"/>
    <n v="0"/>
    <n v="0"/>
    <n v="1"/>
    <n v="0"/>
    <n v="0"/>
    <n v="0"/>
    <x v="0"/>
    <n v="0"/>
    <n v="5018"/>
    <n v="3.5400000000000001E-2"/>
    <n v="0.3054"/>
  </r>
  <r>
    <d v="2024-05-20T00:00:00"/>
    <x v="8"/>
    <x v="42"/>
    <n v="8"/>
    <n v="5"/>
    <n v="1"/>
    <n v="0"/>
    <n v="2"/>
    <n v="14"/>
    <n v="9"/>
    <n v="1"/>
    <n v="1"/>
    <n v="3"/>
    <n v="1.75"/>
    <n v="1.8"/>
    <n v="1"/>
    <x v="0"/>
    <n v="1.5"/>
    <n v="27669"/>
    <n v="5.7999999999999996E-2"/>
    <n v="0.39299999999999996"/>
  </r>
  <r>
    <d v="2024-05-20T00:00:00"/>
    <x v="8"/>
    <x v="43"/>
    <n v="9"/>
    <n v="7"/>
    <n v="2"/>
    <n v="0"/>
    <n v="0"/>
    <n v="13"/>
    <n v="11"/>
    <n v="0"/>
    <n v="1"/>
    <n v="1"/>
    <n v="1.4444444444444444"/>
    <n v="1.5714285714285714"/>
    <n v="0"/>
    <x v="0"/>
    <n v="0"/>
    <n v="110"/>
    <n v="3.5700000000000003E-2"/>
    <n v="0.39299999999999996"/>
  </r>
  <r>
    <d v="2024-05-20T00:00:00"/>
    <x v="9"/>
    <x v="44"/>
    <n v="323"/>
    <n v="168"/>
    <n v="58"/>
    <n v="26"/>
    <n v="71"/>
    <n v="156"/>
    <n v="79"/>
    <n v="33"/>
    <n v="11"/>
    <n v="33"/>
    <n v="0.48297213622291024"/>
    <n v="0.47023809523809523"/>
    <n v="0.56896551724137934"/>
    <x v="22"/>
    <n v="0.46478873239436619"/>
    <n v="10040"/>
    <n v="3.8900000000000004E-2"/>
    <n v="0.43200000000000005"/>
  </r>
  <r>
    <d v="2024-05-20T00:00:00"/>
    <x v="9"/>
    <x v="45"/>
    <n v="17"/>
    <n v="8"/>
    <n v="3"/>
    <n v="2"/>
    <n v="4"/>
    <n v="12"/>
    <n v="4"/>
    <n v="2"/>
    <n v="1"/>
    <n v="5"/>
    <n v="0.70588235294117652"/>
    <n v="0.5"/>
    <n v="0.66666666666666663"/>
    <x v="7"/>
    <n v="1.25"/>
    <n v="23527"/>
    <n v="4.5299999999999993E-2"/>
    <n v="0.43200000000000005"/>
  </r>
  <r>
    <d v="2024-05-20T00:00:00"/>
    <x v="9"/>
    <x v="46"/>
    <n v="56"/>
    <n v="49"/>
    <n v="6"/>
    <n v="0"/>
    <n v="1"/>
    <n v="58"/>
    <n v="51"/>
    <n v="4"/>
    <n v="0"/>
    <n v="3"/>
    <n v="1.0357142857142858"/>
    <n v="1.0408163265306123"/>
    <n v="0.66666666666666663"/>
    <x v="0"/>
    <n v="3"/>
    <n v="6249"/>
    <n v="2.8600000000000004E-2"/>
    <n v="0.43200000000000005"/>
  </r>
  <r>
    <d v="2024-05-20T00:00:00"/>
    <x v="9"/>
    <x v="47"/>
    <n v="72"/>
    <n v="53"/>
    <n v="12"/>
    <n v="2"/>
    <n v="5"/>
    <n v="70"/>
    <n v="61"/>
    <n v="5"/>
    <n v="2"/>
    <n v="2"/>
    <n v="0.97222222222222221"/>
    <n v="1.1509433962264151"/>
    <n v="0.41666666666666669"/>
    <x v="1"/>
    <n v="0.4"/>
    <n v="38994"/>
    <n v="3.9899999999999998E-2"/>
    <n v="0.43200000000000005"/>
  </r>
  <r>
    <d v="2024-05-20T00:00:00"/>
    <x v="9"/>
    <x v="48"/>
    <n v="114"/>
    <n v="0"/>
    <n v="8"/>
    <n v="24"/>
    <n v="82"/>
    <n v="64"/>
    <n v="2"/>
    <n v="11"/>
    <n v="17"/>
    <n v="34"/>
    <n v="0.56140350877192979"/>
    <n v="0"/>
    <n v="1.375"/>
    <x v="23"/>
    <n v="0.41463414634146339"/>
    <n v="635"/>
    <n v="4.0299999999999996E-2"/>
    <n v="0.4320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255B8-527F-4F81-BABC-EEF584CB24A2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ounty">
  <location ref="G33:K44" firstHeaderRow="0" firstDataRow="1" firstDataCol="1"/>
  <pivotFields count="24">
    <pivotField numFmtId="165" showAll="0"/>
    <pivotField axis="axisRow" showAll="0" sortType="descending">
      <items count="11">
        <item x="1"/>
        <item x="2"/>
        <item sd="0" x="8"/>
        <item x="4"/>
        <item x="0"/>
        <item x="5"/>
        <item x="6"/>
        <item x="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>
      <items count="50">
        <item x="33"/>
        <item x="41"/>
        <item x="4"/>
        <item x="19"/>
        <item x="1"/>
        <item x="14"/>
        <item x="12"/>
        <item x="30"/>
        <item x="37"/>
        <item x="36"/>
        <item x="38"/>
        <item x="25"/>
        <item x="9"/>
        <item x="43"/>
        <item x="28"/>
        <item x="2"/>
        <item x="46"/>
        <item x="31"/>
        <item x="13"/>
        <item x="22"/>
        <item x="11"/>
        <item x="42"/>
        <item x="10"/>
        <item x="48"/>
        <item x="32"/>
        <item x="29"/>
        <item x="0"/>
        <item x="40"/>
        <item x="44"/>
        <item x="39"/>
        <item x="47"/>
        <item x="35"/>
        <item x="17"/>
        <item x="3"/>
        <item x="15"/>
        <item x="24"/>
        <item x="27"/>
        <item x="34"/>
        <item x="45"/>
        <item x="8"/>
        <item x="5"/>
        <item x="6"/>
        <item x="7"/>
        <item x="16"/>
        <item x="21"/>
        <item x="26"/>
        <item x="18"/>
        <item x="23"/>
        <item x="2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 v="7"/>
    </i>
    <i>
      <x v="5"/>
    </i>
    <i>
      <x/>
    </i>
    <i>
      <x v="3"/>
    </i>
    <i>
      <x v="6"/>
    </i>
    <i>
      <x v="9"/>
    </i>
    <i>
      <x v="4"/>
    </i>
    <i>
      <x v="2"/>
    </i>
    <i>
      <x v="1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upply 0-1 Acres" fld="4" baseField="0" baseItem="0"/>
    <dataField name="Total Supply 1-3 Acres" fld="5" baseField="0" baseItem="0"/>
    <dataField name="Total Supply 3-5 Acres" fld="6" baseField="0" baseItem="0"/>
    <dataField name="Total Supply 5+ Acres" fld="7" baseField="0" baseItem="0"/>
  </dataFields>
  <formats count="16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-2" type="button" dataOnly="0" labelOnly="1" outline="0" axis="axisCol" fieldPosition="0"/>
    </format>
    <format dxfId="14">
      <pivotArea field="1" type="button" dataOnly="0" labelOnly="1" outline="0" axis="axisRow" fieldPosition="0"/>
    </format>
    <format dxfId="13">
      <pivotArea type="topRight" dataOnly="0" labelOnly="1" outline="0" fieldPosition="0"/>
    </format>
    <format dxfId="12">
      <pivotArea field="2" type="button" dataOnly="0" labelOnly="1" outline="0"/>
    </format>
    <format dxfId="11">
      <pivotArea dataOnly="0" labelOnly="1" grandRow="1" outline="0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grandRow="1" outline="0" collapsedLevelsAreSubtotals="1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">
      <pivotArea field="1" type="button" dataOnly="0" labelOnly="1" outline="0" axis="axisRow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D9E94-5FD3-45A2-AB6D-1B8354CA8A86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ounty">
  <location ref="A43:E54" firstHeaderRow="0" firstDataRow="1" firstDataCol="1"/>
  <pivotFields count="24">
    <pivotField numFmtId="165" showAll="0"/>
    <pivotField axis="axisRow" showAll="0" sortType="ascending">
      <items count="11">
        <item x="1"/>
        <item x="2"/>
        <item sd="0" x="8"/>
        <item x="4"/>
        <item x="0"/>
        <item x="5"/>
        <item x="6"/>
        <item x="9"/>
        <item x="3"/>
        <item x="7"/>
        <item t="default"/>
      </items>
    </pivotField>
    <pivotField showAll="0">
      <items count="50">
        <item x="33"/>
        <item x="41"/>
        <item x="4"/>
        <item x="19"/>
        <item x="1"/>
        <item x="14"/>
        <item x="12"/>
        <item x="30"/>
        <item x="37"/>
        <item x="36"/>
        <item x="38"/>
        <item x="25"/>
        <item x="9"/>
        <item x="43"/>
        <item x="28"/>
        <item x="2"/>
        <item x="46"/>
        <item x="31"/>
        <item x="13"/>
        <item x="22"/>
        <item x="11"/>
        <item x="42"/>
        <item x="10"/>
        <item x="48"/>
        <item x="32"/>
        <item x="29"/>
        <item x="0"/>
        <item x="40"/>
        <item x="44"/>
        <item x="39"/>
        <item x="47"/>
        <item x="35"/>
        <item x="17"/>
        <item x="3"/>
        <item x="15"/>
        <item x="24"/>
        <item x="27"/>
        <item x="34"/>
        <item x="45"/>
        <item x="8"/>
        <item x="5"/>
        <item x="6"/>
        <item x="7"/>
        <item x="16"/>
        <item x="21"/>
        <item x="26"/>
        <item x="18"/>
        <item x="2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Demand 0-1 Acres" fld="9" baseField="0" baseItem="0"/>
    <dataField name="Total Demand 1-3 Acres" fld="10" baseField="0" baseItem="0"/>
    <dataField name="Total Demand 3-5 Acres" fld="11" baseField="0" baseItem="0"/>
    <dataField name="Total Demand 5+ Acres" fld="12" baseField="0" baseItem="0"/>
  </dataFields>
  <formats count="15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-2" type="button" dataOnly="0" labelOnly="1" outline="0" axis="axisCol" fieldPosition="0"/>
    </format>
    <format dxfId="29">
      <pivotArea field="1" type="button" dataOnly="0" labelOnly="1" outline="0" axis="axisRow" fieldPosition="0"/>
    </format>
    <format dxfId="28">
      <pivotArea type="topRight" dataOnly="0" labelOnly="1" outline="0" fieldPosition="0"/>
    </format>
    <format dxfId="27">
      <pivotArea field="2" type="button" dataOnly="0" labelOnly="1" outline="0"/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1" count="0"/>
        </references>
      </pivotArea>
    </format>
    <format dxfId="24">
      <pivotArea grandRow="1" outline="0" collapsedLevelsAreSubtotals="1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B7BB2-871C-468F-8C50-ED69AB6159B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ounty" colHeaderCaption="City">
  <location ref="F3:I14" firstHeaderRow="0" firstDataRow="1" firstDataCol="1"/>
  <pivotFields count="24">
    <pivotField numFmtId="165" showAll="0"/>
    <pivotField axis="axisRow" multipleItemSelectionAllowed="1" showAll="0" sortType="descending">
      <items count="11">
        <item x="1"/>
        <item x="2"/>
        <item sd="0" x="8"/>
        <item x="4"/>
        <item x="0"/>
        <item x="5"/>
        <item x="6"/>
        <item x="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0">
        <item x="33"/>
        <item x="41"/>
        <item x="4"/>
        <item x="19"/>
        <item x="1"/>
        <item x="14"/>
        <item x="12"/>
        <item x="30"/>
        <item x="37"/>
        <item x="36"/>
        <item x="38"/>
        <item x="25"/>
        <item x="9"/>
        <item x="43"/>
        <item x="28"/>
        <item x="2"/>
        <item x="46"/>
        <item x="31"/>
        <item x="13"/>
        <item x="22"/>
        <item x="11"/>
        <item x="42"/>
        <item x="10"/>
        <item x="48"/>
        <item x="32"/>
        <item x="29"/>
        <item x="0"/>
        <item x="40"/>
        <item x="44"/>
        <item x="39"/>
        <item x="47"/>
        <item x="35"/>
        <item x="17"/>
        <item x="3"/>
        <item x="15"/>
        <item x="24"/>
        <item x="27"/>
        <item x="34"/>
        <item x="45"/>
        <item x="8"/>
        <item x="5"/>
        <item x="6"/>
        <item x="7"/>
        <item x="16"/>
        <item x="21"/>
        <item x="26"/>
        <item x="18"/>
        <item x="23"/>
        <item x="20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/>
    </i>
    <i>
      <x v="4"/>
    </i>
    <i>
      <x v="8"/>
    </i>
    <i>
      <x v="5"/>
    </i>
    <i>
      <x v="1"/>
    </i>
    <i>
      <x v="3"/>
    </i>
    <i>
      <x v="2"/>
    </i>
    <i>
      <x v="7"/>
    </i>
    <i>
      <x v="6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pplies" fld="3" baseField="0" baseItem="0" numFmtId="3"/>
    <dataField name="Demand" fld="8" baseField="0" baseItem="0"/>
    <dataField name="Ratios" fld="21" baseField="0" baseItem="0"/>
  </dataFields>
  <formats count="19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-2" type="button" dataOnly="0" labelOnly="1" outline="0" axis="axisCol" fieldPosition="0"/>
    </format>
    <format dxfId="48">
      <pivotArea field="1" type="button" dataOnly="0" labelOnly="1" outline="0" axis="axisRow" fieldPosition="0"/>
    </format>
    <format dxfId="47">
      <pivotArea type="topRight" dataOnly="0" labelOnly="1" outline="0" fieldPosition="0"/>
    </format>
    <format dxfId="46">
      <pivotArea field="2" type="button" dataOnly="0" labelOnly="1" outline="0"/>
    </format>
    <format dxfId="45">
      <pivotArea dataOnly="0" labelOnly="1" grandRow="1" outline="0" fieldPosition="0"/>
    </format>
    <format dxfId="44">
      <pivotArea grandRow="1" outline="0" collapsedLevelsAreSubtotals="1" fieldPosition="0"/>
    </format>
    <format dxfId="43">
      <pivotArea outline="0" collapsedLevelsAreSubtotals="1" fieldPosition="0"/>
    </format>
    <format dxfId="42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1">
      <pivotArea collapsedLevelsAreSubtotals="1" fieldPosition="0">
        <references count="1">
          <reference field="1" count="0"/>
        </references>
      </pivotArea>
    </format>
    <format dxfId="40">
      <pivotArea grandRow="1"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8AAFF-E841-49F2-8745-2D01F5D2F533}" name="TablaDinámica5" cacheId="0" applyNumberFormats="0" applyBorderFormats="0" applyFontFormats="0" applyPatternFormats="0" applyAlignmentFormats="0" applyWidthHeightFormats="1" dataCaption="Valores" updatedVersion="8" minRefreshableVersion="3" useAutoFormatting="1" pageWrap="2" itemPrintTitles="1" createdVersion="8" indent="0" outline="1" outlineData="1" multipleFieldFilters="0" chartFormat="11" rowHeaderCaption="County">
  <location ref="A3:D14" firstHeaderRow="0" firstDataRow="1" firstDataCol="1"/>
  <pivotFields count="24">
    <pivotField numFmtId="165" showAll="0"/>
    <pivotField axis="axisRow" showAll="0" sortType="descending">
      <items count="11">
        <item x="1"/>
        <item x="2"/>
        <item sd="0" x="8"/>
        <item x="4"/>
        <item x="0"/>
        <item x="5"/>
        <item x="6"/>
        <item x="9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50">
        <item x="33"/>
        <item x="41"/>
        <item x="4"/>
        <item x="19"/>
        <item x="1"/>
        <item x="14"/>
        <item x="12"/>
        <item x="30"/>
        <item x="37"/>
        <item x="36"/>
        <item x="38"/>
        <item x="25"/>
        <item x="9"/>
        <item x="43"/>
        <item x="28"/>
        <item x="2"/>
        <item x="46"/>
        <item x="31"/>
        <item x="13"/>
        <item x="22"/>
        <item x="11"/>
        <item x="42"/>
        <item x="10"/>
        <item x="48"/>
        <item x="32"/>
        <item x="29"/>
        <item x="0"/>
        <item x="40"/>
        <item x="44"/>
        <item x="39"/>
        <item x="47"/>
        <item x="35"/>
        <item x="17"/>
        <item x="3"/>
        <item x="15"/>
        <item x="24"/>
        <item x="27"/>
        <item x="34"/>
        <item x="45"/>
        <item x="8"/>
        <item x="5"/>
        <item x="6"/>
        <item x="7"/>
        <item x="16"/>
        <item x="21"/>
        <item x="26"/>
        <item x="18"/>
        <item x="2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 v="9"/>
    </i>
    <i>
      <x v="6"/>
    </i>
    <i>
      <x v="7"/>
    </i>
    <i>
      <x v="8"/>
    </i>
    <i>
      <x v="4"/>
    </i>
    <i>
      <x v="3"/>
    </i>
    <i>
      <x v="2"/>
    </i>
    <i>
      <x/>
    </i>
    <i>
      <x v="1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an Population Size" fld="18" subtotal="average" baseField="0" baseItem="0"/>
    <dataField name="mean Job Growth" fld="20" subtotal="average" baseField="0" baseItem="0"/>
    <dataField name="Mean Crime Rate (%)" fld="19" subtotal="average" baseField="0" baseItem="0"/>
  </dataFields>
  <formats count="24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-2" type="button" dataOnly="0" labelOnly="1" outline="0" axis="axisCol" fieldPosition="0"/>
    </format>
    <format dxfId="72">
      <pivotArea field="1" type="button" dataOnly="0" labelOnly="1" outline="0" axis="axisRow" fieldPosition="0"/>
    </format>
    <format dxfId="71">
      <pivotArea type="topRight" dataOnly="0" labelOnly="1" outline="0" fieldPosition="0"/>
    </format>
    <format dxfId="70">
      <pivotArea field="2" type="button" dataOnly="0" labelOnly="1" outline="0"/>
    </format>
    <format dxfId="69">
      <pivotArea dataOnly="0" labelOnly="1" grandRow="1" outline="0" fieldPosition="0"/>
    </format>
    <format dxfId="68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4">
      <pivotArea collapsedLevelsAreSubtotals="1" fieldPosition="0">
        <references count="1">
          <reference field="1" count="0"/>
        </references>
      </pivotArea>
    </format>
    <format dxfId="63">
      <pivotArea grandRow="1" outline="0" collapsedLevelsAreSubtotals="1" fieldPosition="0"/>
    </format>
    <format dxfId="62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61">
      <pivotArea field="1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field="1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6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1" count="0"/>
        </references>
      </pivotArea>
    </format>
  </formats>
  <conditionalFormats count="2"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2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3A682-103B-4C7E-980D-FFD00E3A4B10}" name="Tabla1" displayName="Tabla1" ref="B3:V53" totalsRowShown="0" headerRowDxfId="100" headerRowBorderDxfId="99" tableBorderDxfId="98">
  <tableColumns count="21">
    <tableColumn id="1" xr3:uid="{D9BB55AA-F6BD-4390-8E0C-10B7988E9B6D}" name="Date " dataDxfId="97"/>
    <tableColumn id="2" xr3:uid="{2E26B562-D75D-46CC-BCA9-A7C4B4969FF5}" name="County" dataDxfId="96"/>
    <tableColumn id="3" xr3:uid="{99411DDB-F600-4396-ABCD-5E6ED760CF2F}" name="City" dataDxfId="95"/>
    <tableColumn id="4" xr3:uid="{2B6ECA6C-A1B1-42EA-9739-A7E43D364524}" name="Total Supply" dataDxfId="94" dataCellStyle="Millares">
      <calculatedColumnFormula>SUM(F4:I4)</calculatedColumnFormula>
    </tableColumn>
    <tableColumn id="5" xr3:uid="{20BBEE22-6708-4124-8596-016A434C71E6}" name="Supply 0-1 Acres" dataDxfId="93" dataCellStyle="Millares"/>
    <tableColumn id="6" xr3:uid="{D3FC3B1B-090F-41E2-A3CA-3E0A99269820}" name="Supply 1-3 Acres" dataDxfId="92"/>
    <tableColumn id="7" xr3:uid="{ED8F9C80-7D3C-482E-B3EE-B25D157BE21A}" name="Supply 3-5  Acres" dataDxfId="91"/>
    <tableColumn id="8" xr3:uid="{7C06FB14-AB62-4F13-AA07-C502386CD0FA}" name="Supply 5+ Acres" dataDxfId="90"/>
    <tableColumn id="9" xr3:uid="{009CBECA-5FF0-4F7E-8361-F35AA5B3C39A}" name="Total Demand" dataDxfId="89" dataCellStyle="Millares">
      <calculatedColumnFormula>SUM(K4:N4)</calculatedColumnFormula>
    </tableColumn>
    <tableColumn id="10" xr3:uid="{4341E044-8EBB-4936-88EC-C579C91445A4}" name="Demand 0-1 Acres" dataDxfId="88"/>
    <tableColumn id="11" xr3:uid="{7163CE16-6ECD-4BCF-A98E-0DB2226173AE}" name="Demand 1-3 Acres" dataDxfId="87"/>
    <tableColumn id="12" xr3:uid="{5FF269F0-E095-4341-9DD2-6C27083AEFFA}" name="Demand 3-5 Acres" dataDxfId="86"/>
    <tableColumn id="13" xr3:uid="{1C1B7D3B-B5AC-41DE-8314-1FEFF9EC29BA}" name="Demand 5+ Acres" dataDxfId="85"/>
    <tableColumn id="14" xr3:uid="{94D6971D-1B5F-460B-A7F6-76EC260D7464}" name="Total Ratio" dataDxfId="84">
      <calculatedColumnFormula array="1">IFERROR(J4/E4,0)</calculatedColumnFormula>
    </tableColumn>
    <tableColumn id="15" xr3:uid="{633DE3A0-5B3B-4817-9AC3-82F93C7A5962}" name="Ratio 0-1 Acres" dataDxfId="83">
      <calculatedColumnFormula>IFERROR(K4/F4,0)</calculatedColumnFormula>
    </tableColumn>
    <tableColumn id="16" xr3:uid="{4FB76B96-30F9-4944-95CB-2C68CCFEE476}" name="Ratio 1-3 Acres" dataDxfId="82">
      <calculatedColumnFormula>IFERROR(L4/G4,0)</calculatedColumnFormula>
    </tableColumn>
    <tableColumn id="17" xr3:uid="{7E412D04-C132-453F-8862-D7D27CBC2788}" name="Ratio 3-5 Acres" dataDxfId="81">
      <calculatedColumnFormula>IFERROR(M4/H4,0)</calculatedColumnFormula>
    </tableColumn>
    <tableColumn id="18" xr3:uid="{7512FF6C-4831-4C35-A843-3B702A17A1CC}" name="Ratio 5+ Acres" dataDxfId="80">
      <calculatedColumnFormula>IFERROR(N4/I4,0)</calculatedColumnFormula>
    </tableColumn>
    <tableColumn id="19" xr3:uid="{7BEB6437-FB31-4761-90BD-ECD2C9629878}" name="Population Size" dataDxfId="79"/>
    <tableColumn id="20" xr3:uid="{060A86DD-2A3A-4A95-B5FE-CE56A0CEFA6C}" name="Crime Rate (%)" dataDxfId="78"/>
    <tableColumn id="21" xr3:uid="{4C7F5D2F-6E0F-41AC-89BF-0B0349785E6F}" name="Job Growth" dataDxfId="77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N341"/>
  <sheetViews>
    <sheetView showGridLines="0" topLeftCell="L1" zoomScaleNormal="100" workbookViewId="0">
      <pane ySplit="7" topLeftCell="A87" activePane="bottomLeft" state="frozen"/>
      <selection pane="bottomLeft" activeCell="P93" sqref="P93"/>
    </sheetView>
  </sheetViews>
  <sheetFormatPr baseColWidth="10" defaultColWidth="12.6640625" defaultRowHeight="15" customHeight="1" x14ac:dyDescent="0.25"/>
  <cols>
    <col min="1" max="1" width="1.6640625" style="3" customWidth="1"/>
    <col min="2" max="2" width="12.6640625" style="3" customWidth="1"/>
    <col min="3" max="3" width="13.6640625" style="28" customWidth="1"/>
    <col min="4" max="4" width="20.33203125" style="28" bestFit="1" customWidth="1"/>
    <col min="5" max="5" width="20.109375" style="28" customWidth="1"/>
    <col min="6" max="6" width="23.33203125" style="28" customWidth="1"/>
    <col min="7" max="7" width="17.88671875" style="28" customWidth="1"/>
    <col min="8" max="8" width="20.88671875" style="28" customWidth="1"/>
    <col min="9" max="9" width="18.21875" style="28" bestFit="1" customWidth="1"/>
    <col min="10" max="10" width="23.6640625" style="57" customWidth="1"/>
    <col min="11" max="11" width="25.88671875" style="28" customWidth="1"/>
    <col min="12" max="12" width="18.77734375" style="28" customWidth="1"/>
    <col min="13" max="13" width="20.21875" style="28" bestFit="1" customWidth="1"/>
    <col min="14" max="14" width="19.5546875" style="28" bestFit="1" customWidth="1"/>
    <col min="15" max="16" width="17.109375" style="28" customWidth="1"/>
    <col min="17" max="17" width="18.109375" style="28" customWidth="1"/>
    <col min="18" max="19" width="17.109375" style="28" customWidth="1"/>
    <col min="20" max="20" width="20.33203125" style="28" customWidth="1"/>
    <col min="21" max="21" width="22" style="28" customWidth="1"/>
    <col min="22" max="22" width="13.33203125" style="28" bestFit="1" customWidth="1"/>
    <col min="23" max="34" width="8.6640625" style="3" customWidth="1"/>
    <col min="35" max="16384" width="12.6640625" style="3"/>
  </cols>
  <sheetData>
    <row r="1" spans="1:40" ht="35.25" customHeight="1" x14ac:dyDescent="0.25">
      <c r="A1" s="1"/>
      <c r="B1" s="2"/>
      <c r="C1" s="164" t="s">
        <v>0</v>
      </c>
      <c r="D1" s="158"/>
      <c r="E1" s="158"/>
      <c r="F1" s="41"/>
      <c r="G1" s="41"/>
      <c r="H1" s="41"/>
      <c r="I1" s="41"/>
      <c r="J1" s="41"/>
      <c r="K1" s="41"/>
      <c r="L1" s="41"/>
      <c r="M1" s="41"/>
      <c r="N1" s="41"/>
      <c r="O1" s="61"/>
      <c r="P1" s="61"/>
      <c r="Q1" s="61"/>
      <c r="R1" s="61"/>
      <c r="S1" s="61"/>
      <c r="T1" s="41"/>
      <c r="U1" s="61"/>
      <c r="V1" s="61"/>
    </row>
    <row r="2" spans="1:40" ht="15" customHeight="1" x14ac:dyDescent="0.25">
      <c r="A2" s="1"/>
      <c r="B2" s="4"/>
      <c r="C2" s="155" t="s">
        <v>1</v>
      </c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58"/>
      <c r="O2" s="62"/>
      <c r="P2" s="62"/>
      <c r="Q2" s="62"/>
      <c r="R2" s="62"/>
      <c r="S2" s="62"/>
      <c r="T2" s="74"/>
      <c r="U2" s="62"/>
      <c r="V2" s="83"/>
    </row>
    <row r="3" spans="1:40" ht="14.25" customHeight="1" x14ac:dyDescent="0.25">
      <c r="A3" s="1"/>
      <c r="B3" s="4"/>
      <c r="C3" s="157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58"/>
      <c r="O3" s="62"/>
      <c r="P3" s="62"/>
      <c r="Q3" s="62"/>
      <c r="R3" s="62"/>
      <c r="S3" s="62"/>
      <c r="T3" s="74"/>
      <c r="U3" s="62"/>
      <c r="V3" s="83"/>
    </row>
    <row r="4" spans="1:40" ht="15" customHeight="1" x14ac:dyDescent="0.25">
      <c r="A4" s="1"/>
      <c r="B4" s="4"/>
      <c r="C4" s="159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59"/>
      <c r="O4" s="63"/>
      <c r="P4" s="63"/>
      <c r="Q4" s="63"/>
      <c r="R4" s="63"/>
      <c r="S4" s="63"/>
      <c r="T4" s="75"/>
      <c r="U4" s="63"/>
      <c r="V4" s="84"/>
      <c r="Y4" s="143">
        <v>100</v>
      </c>
    </row>
    <row r="5" spans="1:40" ht="14.25" customHeight="1" thickBot="1" x14ac:dyDescent="0.3">
      <c r="A5" s="5"/>
      <c r="B5" s="6" t="s">
        <v>2</v>
      </c>
      <c r="C5" s="32"/>
      <c r="D5" s="32"/>
      <c r="E5" s="32"/>
      <c r="F5" s="32"/>
      <c r="G5" s="32"/>
      <c r="H5" s="32"/>
      <c r="I5" s="32"/>
      <c r="J5" s="52"/>
      <c r="K5" s="32"/>
      <c r="L5" s="32"/>
      <c r="M5" s="32"/>
      <c r="N5" s="32"/>
      <c r="O5" s="64"/>
      <c r="P5" s="64"/>
      <c r="Q5" s="64"/>
      <c r="R5" s="64"/>
      <c r="S5" s="71"/>
      <c r="T5" s="76"/>
      <c r="U5" s="72"/>
      <c r="V5" s="85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14.25" customHeight="1" thickBot="1" x14ac:dyDescent="0.35">
      <c r="A6" s="5"/>
      <c r="B6" s="8" t="s">
        <v>3</v>
      </c>
      <c r="C6" s="33"/>
      <c r="D6" s="33"/>
      <c r="E6" s="33"/>
      <c r="F6" s="33"/>
      <c r="G6" s="33"/>
      <c r="H6" s="33"/>
      <c r="I6" s="45"/>
      <c r="J6" s="53" t="s">
        <v>4</v>
      </c>
      <c r="K6" s="33"/>
      <c r="L6" s="33"/>
      <c r="M6" s="33"/>
      <c r="N6" s="45"/>
      <c r="O6" s="33" t="s">
        <v>5</v>
      </c>
      <c r="P6" s="33"/>
      <c r="Q6" s="33"/>
      <c r="R6" s="33"/>
      <c r="S6" s="33"/>
      <c r="T6" s="161" t="s">
        <v>6</v>
      </c>
      <c r="U6" s="162"/>
      <c r="V6" s="163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s="28" customFormat="1" ht="19.2" customHeight="1" thickBot="1" x14ac:dyDescent="0.35">
      <c r="A7" s="18" t="s">
        <v>7</v>
      </c>
      <c r="B7" s="19" t="s">
        <v>8</v>
      </c>
      <c r="C7" s="20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1" t="s">
        <v>14</v>
      </c>
      <c r="I7" s="22" t="s">
        <v>15</v>
      </c>
      <c r="J7" s="23" t="s">
        <v>16</v>
      </c>
      <c r="K7" s="24" t="s">
        <v>17</v>
      </c>
      <c r="L7" s="24" t="s">
        <v>18</v>
      </c>
      <c r="M7" s="24" t="s">
        <v>19</v>
      </c>
      <c r="N7" s="25" t="s">
        <v>20</v>
      </c>
      <c r="O7" s="26" t="s">
        <v>21</v>
      </c>
      <c r="P7" s="24" t="s">
        <v>22</v>
      </c>
      <c r="Q7" s="24" t="s">
        <v>23</v>
      </c>
      <c r="R7" s="24" t="s">
        <v>24</v>
      </c>
      <c r="S7" s="26" t="s">
        <v>25</v>
      </c>
      <c r="T7" s="27" t="s">
        <v>26</v>
      </c>
      <c r="U7" s="24" t="s">
        <v>101</v>
      </c>
      <c r="V7" s="25" t="s">
        <v>28</v>
      </c>
      <c r="X7" s="29"/>
      <c r="Y7" s="30"/>
    </row>
    <row r="8" spans="1:40" ht="14.25" customHeight="1" x14ac:dyDescent="0.25">
      <c r="A8" s="13"/>
      <c r="B8" s="14">
        <v>45425</v>
      </c>
      <c r="C8" s="31" t="s">
        <v>29</v>
      </c>
      <c r="D8" s="29" t="s">
        <v>31</v>
      </c>
      <c r="E8" s="29">
        <f>SUM(F8:I8)</f>
        <v>2208</v>
      </c>
      <c r="F8" s="29">
        <v>2183</v>
      </c>
      <c r="G8" s="29">
        <v>12</v>
      </c>
      <c r="H8" s="29">
        <v>2</v>
      </c>
      <c r="I8" s="29">
        <v>11</v>
      </c>
      <c r="J8" s="54">
        <f>SUM(K8:N8)</f>
        <v>1569</v>
      </c>
      <c r="K8" s="29">
        <v>1556</v>
      </c>
      <c r="L8" s="29">
        <v>3</v>
      </c>
      <c r="M8" s="29">
        <v>2</v>
      </c>
      <c r="N8" s="49">
        <v>8</v>
      </c>
      <c r="O8" s="65">
        <f t="shared" ref="O8:S12" si="0">J8/E8</f>
        <v>0.71059782608695654</v>
      </c>
      <c r="P8" s="65">
        <f t="shared" si="0"/>
        <v>0.71278057718735688</v>
      </c>
      <c r="Q8" s="65">
        <f t="shared" si="0"/>
        <v>0.25</v>
      </c>
      <c r="R8" s="65">
        <f t="shared" si="0"/>
        <v>1</v>
      </c>
      <c r="S8" s="65">
        <f t="shared" si="0"/>
        <v>0.72727272727272729</v>
      </c>
      <c r="T8" s="77">
        <v>193003</v>
      </c>
      <c r="U8" s="122">
        <v>2.8400000000000002E-2</v>
      </c>
      <c r="V8" s="86">
        <v>41</v>
      </c>
      <c r="X8" s="11"/>
      <c r="Y8" s="12"/>
    </row>
    <row r="9" spans="1:40" ht="14.25" customHeight="1" x14ac:dyDescent="0.25">
      <c r="A9" s="13"/>
      <c r="B9" s="15">
        <v>45425</v>
      </c>
      <c r="C9" s="31" t="s">
        <v>29</v>
      </c>
      <c r="D9" s="29" t="s">
        <v>30</v>
      </c>
      <c r="E9" s="29">
        <f>SUM(F9:I9)</f>
        <v>2281</v>
      </c>
      <c r="F9" s="29">
        <v>2242</v>
      </c>
      <c r="G9" s="29">
        <v>25</v>
      </c>
      <c r="H9" s="29">
        <v>3</v>
      </c>
      <c r="I9" s="29">
        <v>11</v>
      </c>
      <c r="J9" s="54">
        <f>SUM(K9:N9)</f>
        <v>2169</v>
      </c>
      <c r="K9" s="29">
        <v>2138</v>
      </c>
      <c r="L9" s="29">
        <v>27</v>
      </c>
      <c r="M9" s="29">
        <v>0</v>
      </c>
      <c r="N9" s="49">
        <v>4</v>
      </c>
      <c r="O9" s="65">
        <f t="shared" si="0"/>
        <v>0.95089872862779479</v>
      </c>
      <c r="P9" s="65">
        <f t="shared" si="0"/>
        <v>0.95361284567350579</v>
      </c>
      <c r="Q9" s="65">
        <f t="shared" si="0"/>
        <v>1.08</v>
      </c>
      <c r="R9" s="65">
        <f t="shared" si="0"/>
        <v>0</v>
      </c>
      <c r="S9" s="65">
        <f t="shared" si="0"/>
        <v>0.36363636363636365</v>
      </c>
      <c r="T9" s="77">
        <v>123751</v>
      </c>
      <c r="U9" s="122">
        <v>5.2700000000000004E-2</v>
      </c>
      <c r="V9" s="86">
        <v>41.6</v>
      </c>
      <c r="X9" s="11"/>
      <c r="Y9" s="12"/>
    </row>
    <row r="10" spans="1:40" ht="14.25" customHeight="1" x14ac:dyDescent="0.25">
      <c r="A10" s="13"/>
      <c r="B10" s="15">
        <v>45425</v>
      </c>
      <c r="C10" s="31" t="s">
        <v>29</v>
      </c>
      <c r="D10" s="29" t="s">
        <v>32</v>
      </c>
      <c r="E10" s="29">
        <f>SUM(F10:I10)</f>
        <v>337</v>
      </c>
      <c r="F10" s="42">
        <v>291</v>
      </c>
      <c r="G10" s="42">
        <v>24</v>
      </c>
      <c r="H10" s="42">
        <v>7</v>
      </c>
      <c r="I10" s="42">
        <v>15</v>
      </c>
      <c r="J10" s="54">
        <f>SUM(K10:N10)</f>
        <v>313</v>
      </c>
      <c r="K10" s="29">
        <v>266</v>
      </c>
      <c r="L10" s="29">
        <v>28</v>
      </c>
      <c r="M10" s="29">
        <v>5</v>
      </c>
      <c r="N10" s="49">
        <v>14</v>
      </c>
      <c r="O10" s="65">
        <f t="shared" si="0"/>
        <v>0.92878338278931749</v>
      </c>
      <c r="P10" s="65">
        <f t="shared" si="0"/>
        <v>0.91408934707903777</v>
      </c>
      <c r="Q10" s="65">
        <f t="shared" si="0"/>
        <v>1.1666666666666667</v>
      </c>
      <c r="R10" s="65">
        <f t="shared" si="0"/>
        <v>0.7142857142857143</v>
      </c>
      <c r="S10" s="65">
        <f t="shared" si="0"/>
        <v>0.93333333333333335</v>
      </c>
      <c r="T10" s="77">
        <v>84694</v>
      </c>
      <c r="U10" s="122">
        <v>4.3899999999999995E-2</v>
      </c>
      <c r="V10" s="86">
        <v>44</v>
      </c>
      <c r="X10" s="11"/>
      <c r="Y10" s="12"/>
    </row>
    <row r="11" spans="1:40" ht="14.25" customHeight="1" x14ac:dyDescent="0.25">
      <c r="A11" s="13"/>
      <c r="B11" s="15">
        <v>45425</v>
      </c>
      <c r="C11" s="31" t="s">
        <v>29</v>
      </c>
      <c r="D11" s="31" t="s">
        <v>34</v>
      </c>
      <c r="E11" s="29">
        <f>SUM(F11:I11)</f>
        <v>92</v>
      </c>
      <c r="F11" s="29">
        <v>67</v>
      </c>
      <c r="G11" s="29">
        <v>20</v>
      </c>
      <c r="H11" s="29">
        <v>3</v>
      </c>
      <c r="I11" s="29">
        <v>2</v>
      </c>
      <c r="J11" s="54">
        <f>SUM(K11:N11)</f>
        <v>47</v>
      </c>
      <c r="K11" s="29">
        <v>29</v>
      </c>
      <c r="L11" s="29">
        <v>11</v>
      </c>
      <c r="M11" s="29">
        <v>4</v>
      </c>
      <c r="N11" s="49">
        <v>3</v>
      </c>
      <c r="O11" s="65">
        <f t="shared" si="0"/>
        <v>0.51086956521739135</v>
      </c>
      <c r="P11" s="65">
        <f t="shared" si="0"/>
        <v>0.43283582089552236</v>
      </c>
      <c r="Q11" s="65">
        <f t="shared" si="0"/>
        <v>0.55000000000000004</v>
      </c>
      <c r="R11" s="65">
        <f t="shared" si="0"/>
        <v>1.3333333333333333</v>
      </c>
      <c r="S11" s="65">
        <f t="shared" si="0"/>
        <v>1.5</v>
      </c>
      <c r="T11" s="77">
        <v>53017</v>
      </c>
      <c r="U11" s="122">
        <v>4.7299999999999995E-2</v>
      </c>
      <c r="V11" s="86">
        <v>46</v>
      </c>
      <c r="X11" s="11"/>
      <c r="Y11" s="12"/>
    </row>
    <row r="12" spans="1:40" ht="14.25" customHeight="1" x14ac:dyDescent="0.25">
      <c r="A12" s="13"/>
      <c r="B12" s="15">
        <v>45425</v>
      </c>
      <c r="C12" s="31" t="s">
        <v>29</v>
      </c>
      <c r="D12" s="29" t="s">
        <v>33</v>
      </c>
      <c r="E12" s="29">
        <f>SUM(F12:I12)</f>
        <v>111</v>
      </c>
      <c r="F12" s="42">
        <v>80</v>
      </c>
      <c r="G12" s="42">
        <v>11</v>
      </c>
      <c r="H12" s="42">
        <v>4</v>
      </c>
      <c r="I12" s="42">
        <v>16</v>
      </c>
      <c r="J12" s="54">
        <f>SUM(K12:N12)</f>
        <v>99</v>
      </c>
      <c r="K12" s="29">
        <v>80</v>
      </c>
      <c r="L12" s="29">
        <v>8</v>
      </c>
      <c r="M12" s="29">
        <v>5</v>
      </c>
      <c r="N12" s="49">
        <v>6</v>
      </c>
      <c r="O12" s="65">
        <f t="shared" si="0"/>
        <v>0.89189189189189189</v>
      </c>
      <c r="P12" s="65">
        <f t="shared" si="0"/>
        <v>1</v>
      </c>
      <c r="Q12" s="65">
        <f t="shared" si="0"/>
        <v>0.72727272727272729</v>
      </c>
      <c r="R12" s="65">
        <f t="shared" si="0"/>
        <v>1.25</v>
      </c>
      <c r="S12" s="65">
        <f t="shared" si="0"/>
        <v>0.375</v>
      </c>
      <c r="T12" s="77">
        <v>41551</v>
      </c>
      <c r="U12" s="122">
        <v>4.6799999999999994E-2</v>
      </c>
      <c r="V12" s="86">
        <v>41.6</v>
      </c>
    </row>
    <row r="13" spans="1:40" ht="14.25" customHeight="1" thickBot="1" x14ac:dyDescent="0.35">
      <c r="A13" s="13"/>
      <c r="B13" s="16"/>
      <c r="C13" s="34"/>
      <c r="D13" s="34"/>
      <c r="E13" s="43"/>
      <c r="F13" s="43"/>
      <c r="G13" s="43"/>
      <c r="H13" s="43"/>
      <c r="I13" s="43"/>
      <c r="J13" s="55"/>
      <c r="K13" s="43"/>
      <c r="L13" s="43"/>
      <c r="M13" s="43"/>
      <c r="N13" s="51"/>
      <c r="O13" s="66"/>
      <c r="P13" s="43"/>
      <c r="Q13" s="43"/>
      <c r="R13" s="43"/>
      <c r="S13" s="43"/>
      <c r="T13" s="78"/>
      <c r="U13" s="73"/>
      <c r="V13" s="87"/>
    </row>
    <row r="14" spans="1:40" ht="14.25" customHeight="1" x14ac:dyDescent="0.3">
      <c r="A14" s="13"/>
      <c r="B14" s="127" t="s">
        <v>100</v>
      </c>
      <c r="C14" s="114"/>
      <c r="D14" s="114"/>
      <c r="E14" s="127">
        <f>SUM(E8:E12)</f>
        <v>5029</v>
      </c>
      <c r="F14" s="127">
        <f>SUM(F8:F12)</f>
        <v>4863</v>
      </c>
      <c r="G14" s="127">
        <f>SUM(G8:G12)</f>
        <v>92</v>
      </c>
      <c r="H14" s="127">
        <f t="shared" ref="H14:I14" si="1">SUM(H8:H12)</f>
        <v>19</v>
      </c>
      <c r="I14" s="127">
        <f t="shared" si="1"/>
        <v>55</v>
      </c>
      <c r="J14" s="127">
        <f>SUM(J8:J12)</f>
        <v>4197</v>
      </c>
      <c r="K14" s="127">
        <f t="shared" ref="K14:N14" si="2">SUM(K8:K12)</f>
        <v>4069</v>
      </c>
      <c r="L14" s="127">
        <f t="shared" si="2"/>
        <v>77</v>
      </c>
      <c r="M14" s="127">
        <f t="shared" si="2"/>
        <v>16</v>
      </c>
      <c r="N14" s="127">
        <f t="shared" si="2"/>
        <v>35</v>
      </c>
      <c r="O14" s="128">
        <f>J14/E14</f>
        <v>0.83455955458341624</v>
      </c>
      <c r="P14" s="128">
        <f>K14/F14</f>
        <v>0.83672630063746656</v>
      </c>
      <c r="Q14" s="128">
        <f>L14/G14</f>
        <v>0.83695652173913049</v>
      </c>
      <c r="R14" s="128">
        <f>M14/H14</f>
        <v>0.84210526315789469</v>
      </c>
      <c r="S14" s="128">
        <f>N14/I14</f>
        <v>0.63636363636363635</v>
      </c>
      <c r="T14" s="101"/>
      <c r="U14" s="117"/>
      <c r="V14" s="117"/>
    </row>
    <row r="15" spans="1:40" ht="14.25" customHeight="1" x14ac:dyDescent="0.3">
      <c r="A15" s="13"/>
      <c r="B15" s="113"/>
      <c r="C15" s="114"/>
      <c r="D15" s="114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115"/>
      <c r="P15" s="91"/>
      <c r="Q15" s="91"/>
      <c r="R15" s="91"/>
      <c r="S15" s="91"/>
      <c r="T15" s="116"/>
      <c r="U15" s="117"/>
      <c r="V15" s="117"/>
    </row>
    <row r="16" spans="1:40" ht="14.25" customHeight="1" x14ac:dyDescent="0.3">
      <c r="A16" s="13"/>
      <c r="B16" s="113"/>
      <c r="C16" s="114"/>
      <c r="D16" s="114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138" t="str">
        <f>IF(O14&gt;=0.95,"UNWORKABLE",IF(O14&lt;=0.89,"WORKABLE","NEUTRAL"))</f>
        <v>WORKABLE</v>
      </c>
      <c r="P16" s="138" t="str">
        <f t="shared" ref="P16:S16" si="3">IF(P14&gt;=0.95,"UNWORKABLE",IF(P14&lt;=0.89,"WORKABLE","NEUTRAL"))</f>
        <v>WORKABLE</v>
      </c>
      <c r="Q16" s="138" t="str">
        <f t="shared" si="3"/>
        <v>WORKABLE</v>
      </c>
      <c r="R16" s="138" t="str">
        <f t="shared" si="3"/>
        <v>WORKABLE</v>
      </c>
      <c r="S16" s="138" t="str">
        <f t="shared" si="3"/>
        <v>WORKABLE</v>
      </c>
      <c r="T16" s="116"/>
      <c r="U16" s="117"/>
      <c r="V16" s="117"/>
    </row>
    <row r="17" spans="1:25" ht="14.25" customHeight="1" thickBot="1" x14ac:dyDescent="0.35">
      <c r="A17" s="13"/>
      <c r="B17" s="11"/>
      <c r="C17" s="39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29"/>
      <c r="P17" s="29"/>
      <c r="Q17" s="29"/>
      <c r="R17" s="29"/>
      <c r="S17" s="29"/>
      <c r="T17" s="31"/>
      <c r="U17" s="29"/>
      <c r="V17" s="29"/>
      <c r="X17" s="11"/>
      <c r="Y17" s="17"/>
    </row>
    <row r="18" spans="1:25" ht="14.25" customHeight="1" x14ac:dyDescent="0.3">
      <c r="A18" s="9" t="s">
        <v>7</v>
      </c>
      <c r="B18" s="10" t="s">
        <v>8</v>
      </c>
      <c r="C18" s="40" t="s">
        <v>9</v>
      </c>
      <c r="D18" s="24" t="s">
        <v>10</v>
      </c>
      <c r="E18" s="24" t="s">
        <v>11</v>
      </c>
      <c r="F18" s="24" t="s">
        <v>12</v>
      </c>
      <c r="G18" s="24" t="s">
        <v>13</v>
      </c>
      <c r="H18" s="24" t="s">
        <v>14</v>
      </c>
      <c r="I18" s="26" t="s">
        <v>15</v>
      </c>
      <c r="J18" s="23" t="s">
        <v>16</v>
      </c>
      <c r="K18" s="24" t="s">
        <v>17</v>
      </c>
      <c r="L18" s="24" t="s">
        <v>18</v>
      </c>
      <c r="M18" s="24" t="s">
        <v>19</v>
      </c>
      <c r="N18" s="25" t="s">
        <v>20</v>
      </c>
      <c r="O18" s="26" t="s">
        <v>21</v>
      </c>
      <c r="P18" s="24" t="s">
        <v>22</v>
      </c>
      <c r="Q18" s="24" t="s">
        <v>23</v>
      </c>
      <c r="R18" s="24" t="s">
        <v>24</v>
      </c>
      <c r="S18" s="26" t="s">
        <v>25</v>
      </c>
      <c r="T18" s="27" t="s">
        <v>26</v>
      </c>
      <c r="U18" s="24" t="s">
        <v>27</v>
      </c>
      <c r="V18" s="25" t="s">
        <v>28</v>
      </c>
      <c r="X18" s="11"/>
      <c r="Y18" s="17"/>
    </row>
    <row r="19" spans="1:25" ht="14.25" customHeight="1" x14ac:dyDescent="0.25">
      <c r="A19" s="13"/>
      <c r="B19" s="15">
        <v>45426</v>
      </c>
      <c r="C19" s="31" t="s">
        <v>35</v>
      </c>
      <c r="D19" s="29" t="s">
        <v>36</v>
      </c>
      <c r="E19" s="29">
        <f>SUM(F19:I19)</f>
        <v>3164</v>
      </c>
      <c r="F19" s="29">
        <v>3141</v>
      </c>
      <c r="G19" s="29">
        <v>15</v>
      </c>
      <c r="H19" s="29">
        <v>2</v>
      </c>
      <c r="I19" s="29">
        <v>6</v>
      </c>
      <c r="J19" s="54">
        <f>SUM(K19:N19)</f>
        <v>1819</v>
      </c>
      <c r="K19" s="29">
        <v>1813</v>
      </c>
      <c r="L19" s="29">
        <v>5</v>
      </c>
      <c r="M19" s="29">
        <v>0</v>
      </c>
      <c r="N19" s="49">
        <v>1</v>
      </c>
      <c r="O19" s="65">
        <f t="shared" ref="O19:S19" si="4">J19/E19</f>
        <v>0.57490518331226292</v>
      </c>
      <c r="P19" s="65">
        <f t="shared" si="4"/>
        <v>0.57720471187519895</v>
      </c>
      <c r="Q19" s="65">
        <f t="shared" si="4"/>
        <v>0.33333333333333331</v>
      </c>
      <c r="R19" s="65">
        <f t="shared" si="4"/>
        <v>0</v>
      </c>
      <c r="S19" s="65">
        <f t="shared" si="4"/>
        <v>0.16666666666666666</v>
      </c>
      <c r="T19" s="77">
        <v>62531</v>
      </c>
      <c r="U19" s="122">
        <v>5.28E-2</v>
      </c>
      <c r="V19" s="49">
        <v>38.9</v>
      </c>
    </row>
    <row r="20" spans="1:25" ht="14.25" customHeight="1" x14ac:dyDescent="0.25">
      <c r="A20" s="13"/>
      <c r="B20" s="15">
        <v>45426</v>
      </c>
      <c r="C20" s="31" t="s">
        <v>35</v>
      </c>
      <c r="D20" s="29" t="s">
        <v>37</v>
      </c>
      <c r="E20" s="29">
        <f t="shared" ref="E20:E22" si="5">SUM(F20:I20)</f>
        <v>1344</v>
      </c>
      <c r="F20" s="29">
        <v>1137</v>
      </c>
      <c r="G20" s="29">
        <v>81</v>
      </c>
      <c r="H20" s="29">
        <v>40</v>
      </c>
      <c r="I20" s="29">
        <v>86</v>
      </c>
      <c r="J20" s="54">
        <f t="shared" ref="J20:J23" si="6">SUM(K20:N20)</f>
        <v>875</v>
      </c>
      <c r="K20" s="29">
        <v>747</v>
      </c>
      <c r="L20" s="29">
        <v>50</v>
      </c>
      <c r="M20" s="29">
        <v>31</v>
      </c>
      <c r="N20" s="49">
        <v>47</v>
      </c>
      <c r="O20" s="65">
        <f t="shared" ref="O20:S20" si="7">J20/E20</f>
        <v>0.65104166666666663</v>
      </c>
      <c r="P20" s="65">
        <f t="shared" si="7"/>
        <v>0.65699208443271773</v>
      </c>
      <c r="Q20" s="65">
        <f t="shared" si="7"/>
        <v>0.61728395061728392</v>
      </c>
      <c r="R20" s="65">
        <f t="shared" si="7"/>
        <v>0.77500000000000002</v>
      </c>
      <c r="S20" s="65">
        <f t="shared" si="7"/>
        <v>0.54651162790697672</v>
      </c>
      <c r="T20" s="77">
        <v>19230</v>
      </c>
      <c r="U20" s="122">
        <v>2.3300000000000001E-2</v>
      </c>
      <c r="V20" s="49">
        <v>38.9</v>
      </c>
    </row>
    <row r="21" spans="1:25" ht="14.25" customHeight="1" x14ac:dyDescent="0.25">
      <c r="A21" s="13"/>
      <c r="B21" s="15">
        <v>45427</v>
      </c>
      <c r="C21" s="31" t="s">
        <v>35</v>
      </c>
      <c r="D21" s="31" t="s">
        <v>38</v>
      </c>
      <c r="E21" s="29">
        <f t="shared" si="5"/>
        <v>225</v>
      </c>
      <c r="F21" s="29">
        <v>217</v>
      </c>
      <c r="G21" s="29">
        <v>6</v>
      </c>
      <c r="H21" s="29">
        <v>1</v>
      </c>
      <c r="I21" s="29">
        <v>1</v>
      </c>
      <c r="J21" s="54">
        <f t="shared" si="6"/>
        <v>76</v>
      </c>
      <c r="K21" s="29">
        <v>76</v>
      </c>
      <c r="L21" s="29">
        <v>0</v>
      </c>
      <c r="M21" s="29">
        <v>0</v>
      </c>
      <c r="N21" s="49">
        <v>0</v>
      </c>
      <c r="O21" s="65">
        <f t="shared" ref="O21:S21" si="8">J21/E21</f>
        <v>0.33777777777777779</v>
      </c>
      <c r="P21" s="65">
        <f t="shared" si="8"/>
        <v>0.35023041474654376</v>
      </c>
      <c r="Q21" s="65">
        <f t="shared" si="8"/>
        <v>0</v>
      </c>
      <c r="R21" s="65">
        <f t="shared" si="8"/>
        <v>0</v>
      </c>
      <c r="S21" s="65">
        <f t="shared" si="8"/>
        <v>0</v>
      </c>
      <c r="T21" s="77">
        <v>9906</v>
      </c>
      <c r="U21" s="122">
        <v>3.2100000000000004E-2</v>
      </c>
      <c r="V21" s="49">
        <v>38.9</v>
      </c>
    </row>
    <row r="22" spans="1:25" ht="14.25" customHeight="1" x14ac:dyDescent="0.25">
      <c r="A22" s="13"/>
      <c r="B22" s="15">
        <v>45427</v>
      </c>
      <c r="C22" s="31" t="s">
        <v>35</v>
      </c>
      <c r="D22" s="31" t="s">
        <v>39</v>
      </c>
      <c r="E22" s="29">
        <f t="shared" si="5"/>
        <v>0</v>
      </c>
      <c r="F22" s="29">
        <v>0</v>
      </c>
      <c r="G22" s="29">
        <v>0</v>
      </c>
      <c r="H22" s="29">
        <v>0</v>
      </c>
      <c r="I22" s="29">
        <v>0</v>
      </c>
      <c r="J22" s="54">
        <f t="shared" si="6"/>
        <v>0</v>
      </c>
      <c r="K22" s="29">
        <v>0</v>
      </c>
      <c r="L22" s="29">
        <v>0</v>
      </c>
      <c r="M22" s="29">
        <v>0</v>
      </c>
      <c r="N22" s="49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79">
        <v>0</v>
      </c>
      <c r="U22" s="125">
        <v>0</v>
      </c>
      <c r="V22" s="49">
        <v>0</v>
      </c>
    </row>
    <row r="23" spans="1:25" ht="14.25" customHeight="1" x14ac:dyDescent="0.25">
      <c r="A23" s="13"/>
      <c r="B23" s="15">
        <v>45427</v>
      </c>
      <c r="C23" s="31" t="s">
        <v>35</v>
      </c>
      <c r="D23" s="31" t="s">
        <v>40</v>
      </c>
      <c r="E23" s="29">
        <f>SUM(F23:I23)</f>
        <v>300</v>
      </c>
      <c r="F23" s="29">
        <v>278</v>
      </c>
      <c r="G23" s="29">
        <v>7</v>
      </c>
      <c r="H23" s="29">
        <v>8</v>
      </c>
      <c r="I23" s="29">
        <v>7</v>
      </c>
      <c r="J23" s="54">
        <f t="shared" si="6"/>
        <v>182</v>
      </c>
      <c r="K23" s="29">
        <v>178</v>
      </c>
      <c r="L23" s="29">
        <v>2</v>
      </c>
      <c r="M23" s="29">
        <v>0</v>
      </c>
      <c r="N23" s="49">
        <v>2</v>
      </c>
      <c r="O23" s="65">
        <f t="shared" ref="O23:S23" si="9">J23/E23</f>
        <v>0.60666666666666669</v>
      </c>
      <c r="P23" s="65">
        <f t="shared" si="9"/>
        <v>0.64028776978417268</v>
      </c>
      <c r="Q23" s="65">
        <f t="shared" si="9"/>
        <v>0.2857142857142857</v>
      </c>
      <c r="R23" s="65">
        <f t="shared" si="9"/>
        <v>0</v>
      </c>
      <c r="S23" s="65">
        <f t="shared" si="9"/>
        <v>0.2857142857142857</v>
      </c>
      <c r="T23" s="77">
        <v>19683</v>
      </c>
      <c r="U23" s="122">
        <v>4.9600000000000002E-4</v>
      </c>
      <c r="V23" s="49">
        <v>42.2</v>
      </c>
    </row>
    <row r="24" spans="1:25" ht="14.25" customHeight="1" thickBot="1" x14ac:dyDescent="0.35">
      <c r="A24" s="13"/>
      <c r="B24" s="16"/>
      <c r="C24" s="34"/>
      <c r="D24" s="36"/>
      <c r="E24" s="36"/>
      <c r="F24" s="36"/>
      <c r="G24" s="36"/>
      <c r="H24" s="36"/>
      <c r="I24" s="36"/>
      <c r="J24" s="56"/>
      <c r="K24" s="36"/>
      <c r="L24" s="36"/>
      <c r="M24" s="36"/>
      <c r="N24" s="50"/>
      <c r="O24" s="36"/>
      <c r="P24" s="36"/>
      <c r="Q24" s="36"/>
      <c r="R24" s="36"/>
      <c r="S24" s="36"/>
      <c r="T24" s="78"/>
      <c r="U24" s="73"/>
      <c r="V24" s="87"/>
    </row>
    <row r="25" spans="1:25" ht="14.25" customHeight="1" x14ac:dyDescent="0.3">
      <c r="A25" s="13"/>
      <c r="B25" s="127" t="s">
        <v>100</v>
      </c>
      <c r="C25" s="114"/>
      <c r="D25" s="127"/>
      <c r="E25" s="127">
        <f>SUM(E19:E23)</f>
        <v>5033</v>
      </c>
      <c r="F25" s="127">
        <f t="shared" ref="F25:I25" si="10">SUM(F19:F23)</f>
        <v>4773</v>
      </c>
      <c r="G25" s="127">
        <f t="shared" si="10"/>
        <v>109</v>
      </c>
      <c r="H25" s="127">
        <f t="shared" si="10"/>
        <v>51</v>
      </c>
      <c r="I25" s="127">
        <f t="shared" si="10"/>
        <v>100</v>
      </c>
      <c r="J25" s="127">
        <f>SUM(J19:J23)</f>
        <v>2952</v>
      </c>
      <c r="K25" s="127">
        <f t="shared" ref="K25:N25" si="11">SUM(K19:K23)</f>
        <v>2814</v>
      </c>
      <c r="L25" s="127">
        <f t="shared" si="11"/>
        <v>57</v>
      </c>
      <c r="M25" s="127">
        <f t="shared" si="11"/>
        <v>31</v>
      </c>
      <c r="N25" s="127">
        <f t="shared" si="11"/>
        <v>50</v>
      </c>
      <c r="O25" s="128">
        <f>J25/E25</f>
        <v>0.58652890919928469</v>
      </c>
      <c r="P25" s="128">
        <f>K25/F25</f>
        <v>0.58956631049654307</v>
      </c>
      <c r="Q25" s="128">
        <f>L25/G25</f>
        <v>0.52293577981651373</v>
      </c>
      <c r="R25" s="128">
        <f>M25/H25</f>
        <v>0.60784313725490191</v>
      </c>
      <c r="S25" s="127">
        <f>N25/I25</f>
        <v>0.5</v>
      </c>
      <c r="T25" s="116"/>
      <c r="U25" s="117"/>
      <c r="V25" s="117"/>
    </row>
    <row r="26" spans="1:25" ht="14.25" customHeight="1" x14ac:dyDescent="0.3">
      <c r="A26" s="13"/>
      <c r="B26" s="127"/>
      <c r="C26" s="114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8"/>
      <c r="P26" s="128"/>
      <c r="Q26" s="128"/>
      <c r="R26" s="128"/>
      <c r="S26" s="127"/>
      <c r="T26" s="116"/>
      <c r="U26" s="117"/>
      <c r="V26" s="117"/>
    </row>
    <row r="27" spans="1:25" ht="14.25" customHeight="1" x14ac:dyDescent="0.3">
      <c r="A27" s="13"/>
      <c r="B27" s="113"/>
      <c r="C27" s="114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38" t="str">
        <f>IF(O25&gt;=0.95,"UNWORKABLE",IF(O25&lt;=0.89,"WORKABLE","NEUTRAL"))</f>
        <v>WORKABLE</v>
      </c>
      <c r="P27" s="138" t="str">
        <f t="shared" ref="P27:S27" si="12">IF(P25&gt;=0.95,"UNWORKABLE",IF(P25&lt;=0.89,"WORKABLE","NEUTRAL"))</f>
        <v>WORKABLE</v>
      </c>
      <c r="Q27" s="138" t="str">
        <f t="shared" si="12"/>
        <v>WORKABLE</v>
      </c>
      <c r="R27" s="138" t="str">
        <f t="shared" si="12"/>
        <v>WORKABLE</v>
      </c>
      <c r="S27" s="138" t="str">
        <f t="shared" si="12"/>
        <v>WORKABLE</v>
      </c>
      <c r="T27" s="116"/>
      <c r="U27" s="117"/>
      <c r="V27" s="117"/>
    </row>
    <row r="28" spans="1:25" ht="14.25" customHeight="1" thickBot="1" x14ac:dyDescent="0.35">
      <c r="A28" s="13"/>
      <c r="B28" s="11"/>
      <c r="C28" s="39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1"/>
      <c r="U28" s="29"/>
      <c r="V28" s="29"/>
    </row>
    <row r="29" spans="1:25" ht="14.25" customHeight="1" thickBot="1" x14ac:dyDescent="0.35">
      <c r="A29" s="9" t="s">
        <v>7</v>
      </c>
      <c r="B29" s="10" t="s">
        <v>8</v>
      </c>
      <c r="C29" s="40" t="s">
        <v>9</v>
      </c>
      <c r="D29" s="24" t="s">
        <v>10</v>
      </c>
      <c r="E29" s="24" t="s">
        <v>11</v>
      </c>
      <c r="F29" s="24" t="s">
        <v>12</v>
      </c>
      <c r="G29" s="24" t="s">
        <v>13</v>
      </c>
      <c r="H29" s="24" t="s">
        <v>14</v>
      </c>
      <c r="I29" s="26" t="s">
        <v>15</v>
      </c>
      <c r="J29" s="24" t="s">
        <v>16</v>
      </c>
      <c r="K29" s="24" t="s">
        <v>17</v>
      </c>
      <c r="L29" s="24" t="s">
        <v>18</v>
      </c>
      <c r="M29" s="24" t="s">
        <v>19</v>
      </c>
      <c r="N29" s="25" t="s">
        <v>20</v>
      </c>
      <c r="O29" s="26" t="s">
        <v>21</v>
      </c>
      <c r="P29" s="24" t="s">
        <v>22</v>
      </c>
      <c r="Q29" s="24" t="s">
        <v>23</v>
      </c>
      <c r="R29" s="24" t="s">
        <v>24</v>
      </c>
      <c r="S29" s="26" t="s">
        <v>25</v>
      </c>
      <c r="T29" s="27" t="s">
        <v>26</v>
      </c>
      <c r="U29" s="24" t="s">
        <v>27</v>
      </c>
      <c r="V29" s="25" t="s">
        <v>28</v>
      </c>
    </row>
    <row r="30" spans="1:25" ht="14.25" customHeight="1" x14ac:dyDescent="0.25">
      <c r="A30" s="13"/>
      <c r="B30" s="15">
        <v>45427</v>
      </c>
      <c r="C30" s="31" t="s">
        <v>41</v>
      </c>
      <c r="D30" s="29" t="s">
        <v>42</v>
      </c>
      <c r="E30" s="29">
        <f>SUM(F30:I30)</f>
        <v>287</v>
      </c>
      <c r="F30" s="29">
        <v>261</v>
      </c>
      <c r="G30" s="29">
        <v>20</v>
      </c>
      <c r="H30" s="44">
        <v>3</v>
      </c>
      <c r="I30" s="89">
        <v>3</v>
      </c>
      <c r="J30" s="91">
        <f>SUM(K30:N30)</f>
        <v>203</v>
      </c>
      <c r="K30" s="44">
        <v>175</v>
      </c>
      <c r="L30" s="29">
        <v>24</v>
      </c>
      <c r="M30" s="29">
        <v>1</v>
      </c>
      <c r="N30" s="49">
        <v>3</v>
      </c>
      <c r="O30" s="65">
        <f t="shared" ref="O30:S30" si="13">J30/E30</f>
        <v>0.70731707317073167</v>
      </c>
      <c r="P30" s="65">
        <f t="shared" si="13"/>
        <v>0.67049808429118773</v>
      </c>
      <c r="Q30" s="65">
        <f t="shared" si="13"/>
        <v>1.2</v>
      </c>
      <c r="R30" s="65">
        <f t="shared" si="13"/>
        <v>0.33333333333333331</v>
      </c>
      <c r="S30" s="65">
        <f t="shared" si="13"/>
        <v>1</v>
      </c>
      <c r="T30" s="80">
        <v>7423</v>
      </c>
      <c r="U30" s="124">
        <v>4.0799999999999996E-2</v>
      </c>
      <c r="V30" s="88">
        <v>29</v>
      </c>
    </row>
    <row r="31" spans="1:25" ht="14.25" customHeight="1" x14ac:dyDescent="0.25">
      <c r="A31" s="13"/>
      <c r="B31" s="15">
        <v>45427</v>
      </c>
      <c r="C31" s="31" t="s">
        <v>41</v>
      </c>
      <c r="D31" s="29" t="s">
        <v>43</v>
      </c>
      <c r="E31" s="29">
        <f t="shared" ref="E31:E34" si="14">SUM(F31:I31)</f>
        <v>211</v>
      </c>
      <c r="F31" s="29">
        <v>173</v>
      </c>
      <c r="G31" s="29">
        <v>16</v>
      </c>
      <c r="H31" s="29">
        <v>10</v>
      </c>
      <c r="I31" s="90">
        <v>12</v>
      </c>
      <c r="J31" s="91">
        <f t="shared" ref="J31:J34" si="15">SUM(K31:N31)</f>
        <v>202</v>
      </c>
      <c r="K31" s="29">
        <v>162</v>
      </c>
      <c r="L31" s="29">
        <v>27</v>
      </c>
      <c r="M31" s="29">
        <v>5</v>
      </c>
      <c r="N31" s="49">
        <v>8</v>
      </c>
      <c r="O31" s="65">
        <f t="shared" ref="O31:S31" si="16">J31/E31</f>
        <v>0.95734597156398105</v>
      </c>
      <c r="P31" s="65">
        <f t="shared" si="16"/>
        <v>0.93641618497109824</v>
      </c>
      <c r="Q31" s="65">
        <f t="shared" si="16"/>
        <v>1.6875</v>
      </c>
      <c r="R31" s="65">
        <f t="shared" si="16"/>
        <v>0.5</v>
      </c>
      <c r="S31" s="65">
        <f t="shared" si="16"/>
        <v>0.66666666666666663</v>
      </c>
      <c r="T31" s="77">
        <v>1888</v>
      </c>
      <c r="U31" s="122">
        <v>3.2899999999999999E-2</v>
      </c>
      <c r="V31" s="49">
        <v>29</v>
      </c>
    </row>
    <row r="32" spans="1:25" ht="14.25" customHeight="1" x14ac:dyDescent="0.25">
      <c r="A32" s="13"/>
      <c r="B32" s="15">
        <v>45427</v>
      </c>
      <c r="C32" s="31" t="s">
        <v>41</v>
      </c>
      <c r="D32" s="29" t="s">
        <v>44</v>
      </c>
      <c r="E32" s="29">
        <f t="shared" si="14"/>
        <v>233</v>
      </c>
      <c r="F32" s="29">
        <v>138</v>
      </c>
      <c r="G32" s="29">
        <v>76</v>
      </c>
      <c r="H32" s="29">
        <v>5</v>
      </c>
      <c r="I32" s="90">
        <v>14</v>
      </c>
      <c r="J32" s="91">
        <f t="shared" si="15"/>
        <v>161</v>
      </c>
      <c r="K32" s="29">
        <v>68</v>
      </c>
      <c r="L32" s="29">
        <v>80</v>
      </c>
      <c r="M32" s="29">
        <v>7</v>
      </c>
      <c r="N32" s="49">
        <v>6</v>
      </c>
      <c r="O32" s="65">
        <f t="shared" ref="O32:S32" si="17">J32/E32</f>
        <v>0.69098712446351929</v>
      </c>
      <c r="P32" s="65">
        <f t="shared" si="17"/>
        <v>0.49275362318840582</v>
      </c>
      <c r="Q32" s="65">
        <f t="shared" si="17"/>
        <v>1.0526315789473684</v>
      </c>
      <c r="R32" s="65">
        <f t="shared" si="17"/>
        <v>1.4</v>
      </c>
      <c r="S32" s="65">
        <f t="shared" si="17"/>
        <v>0.42857142857142855</v>
      </c>
      <c r="T32" s="77">
        <v>3291</v>
      </c>
      <c r="U32" s="122">
        <v>9.509999999999999E-2</v>
      </c>
      <c r="V32" s="49">
        <v>29</v>
      </c>
    </row>
    <row r="33" spans="1:22" ht="14.25" customHeight="1" x14ac:dyDescent="0.25">
      <c r="A33" s="13"/>
      <c r="B33" s="15">
        <v>45427</v>
      </c>
      <c r="C33" s="31" t="s">
        <v>41</v>
      </c>
      <c r="D33" s="31" t="s">
        <v>45</v>
      </c>
      <c r="E33" s="29">
        <f t="shared" si="14"/>
        <v>119</v>
      </c>
      <c r="F33" s="29">
        <v>66</v>
      </c>
      <c r="G33" s="29">
        <v>42</v>
      </c>
      <c r="H33" s="29">
        <v>4</v>
      </c>
      <c r="I33" s="90">
        <v>7</v>
      </c>
      <c r="J33" s="91">
        <f t="shared" si="15"/>
        <v>113</v>
      </c>
      <c r="K33" s="29">
        <v>53</v>
      </c>
      <c r="L33" s="29">
        <v>56</v>
      </c>
      <c r="M33" s="29">
        <v>1</v>
      </c>
      <c r="N33" s="49">
        <v>3</v>
      </c>
      <c r="O33" s="65">
        <f t="shared" ref="O33:S33" si="18">J33/E33</f>
        <v>0.94957983193277307</v>
      </c>
      <c r="P33" s="65">
        <f t="shared" si="18"/>
        <v>0.80303030303030298</v>
      </c>
      <c r="Q33" s="65">
        <f t="shared" si="18"/>
        <v>1.3333333333333333</v>
      </c>
      <c r="R33" s="65">
        <f t="shared" si="18"/>
        <v>0.25</v>
      </c>
      <c r="S33" s="65">
        <f t="shared" si="18"/>
        <v>0.42857142857142855</v>
      </c>
      <c r="T33" s="77">
        <v>9530</v>
      </c>
      <c r="U33" s="123">
        <v>3.9199999999999999E-2</v>
      </c>
      <c r="V33" s="49">
        <v>29</v>
      </c>
    </row>
    <row r="34" spans="1:22" ht="14.25" customHeight="1" x14ac:dyDescent="0.25">
      <c r="A34" s="13"/>
      <c r="B34" s="15">
        <v>45427</v>
      </c>
      <c r="C34" s="31" t="s">
        <v>41</v>
      </c>
      <c r="D34" s="29" t="s">
        <v>46</v>
      </c>
      <c r="E34" s="29">
        <f t="shared" si="14"/>
        <v>331</v>
      </c>
      <c r="F34" s="29">
        <v>308</v>
      </c>
      <c r="G34" s="29">
        <v>18</v>
      </c>
      <c r="H34" s="29">
        <v>1</v>
      </c>
      <c r="I34" s="90">
        <v>4</v>
      </c>
      <c r="J34" s="91">
        <f t="shared" si="15"/>
        <v>716</v>
      </c>
      <c r="K34" s="29">
        <v>696</v>
      </c>
      <c r="L34" s="29">
        <v>18</v>
      </c>
      <c r="M34" s="29">
        <v>2</v>
      </c>
      <c r="N34" s="49">
        <v>0</v>
      </c>
      <c r="O34" s="65">
        <f t="shared" ref="O34:S34" si="19">J34/E34</f>
        <v>2.1631419939577041</v>
      </c>
      <c r="P34" s="65">
        <f t="shared" si="19"/>
        <v>2.2597402597402598</v>
      </c>
      <c r="Q34" s="65">
        <f t="shared" si="19"/>
        <v>1</v>
      </c>
      <c r="R34" s="65">
        <f t="shared" si="19"/>
        <v>2</v>
      </c>
      <c r="S34" s="65">
        <f t="shared" si="19"/>
        <v>0</v>
      </c>
      <c r="T34" s="77">
        <v>10162</v>
      </c>
      <c r="U34" s="122">
        <v>3.6600000000000001E-2</v>
      </c>
      <c r="V34" s="49">
        <v>29</v>
      </c>
    </row>
    <row r="35" spans="1:22" ht="14.25" customHeight="1" thickBot="1" x14ac:dyDescent="0.35">
      <c r="A35" s="13"/>
      <c r="B35" s="16"/>
      <c r="C35" s="34"/>
      <c r="D35" s="36"/>
      <c r="E35" s="43"/>
      <c r="F35" s="43"/>
      <c r="G35" s="43"/>
      <c r="H35" s="43"/>
      <c r="I35" s="47"/>
      <c r="J35" s="43"/>
      <c r="K35" s="43"/>
      <c r="L35" s="43"/>
      <c r="M35" s="43"/>
      <c r="N35" s="51"/>
      <c r="O35" s="43"/>
      <c r="P35" s="43"/>
      <c r="Q35" s="43"/>
      <c r="R35" s="43"/>
      <c r="S35" s="43"/>
      <c r="T35" s="78"/>
      <c r="U35" s="43"/>
      <c r="V35" s="51"/>
    </row>
    <row r="36" spans="1:22" ht="14.25" customHeight="1" x14ac:dyDescent="0.3">
      <c r="A36" s="13"/>
      <c r="B36" s="127" t="s">
        <v>100</v>
      </c>
      <c r="C36" s="114"/>
      <c r="D36" s="127"/>
      <c r="E36" s="127">
        <f>SUM(E31:E34)</f>
        <v>894</v>
      </c>
      <c r="F36" s="127">
        <f t="shared" ref="F36:N36" si="20">SUM(F31:F34)</f>
        <v>685</v>
      </c>
      <c r="G36" s="127">
        <f t="shared" si="20"/>
        <v>152</v>
      </c>
      <c r="H36" s="127">
        <f t="shared" si="20"/>
        <v>20</v>
      </c>
      <c r="I36" s="127">
        <f t="shared" si="20"/>
        <v>37</v>
      </c>
      <c r="J36" s="127">
        <f t="shared" si="20"/>
        <v>1192</v>
      </c>
      <c r="K36" s="127">
        <f t="shared" si="20"/>
        <v>979</v>
      </c>
      <c r="L36" s="127">
        <f t="shared" si="20"/>
        <v>181</v>
      </c>
      <c r="M36" s="127">
        <f t="shared" si="20"/>
        <v>15</v>
      </c>
      <c r="N36" s="127">
        <f t="shared" si="20"/>
        <v>17</v>
      </c>
      <c r="O36" s="128">
        <f>J36/E36</f>
        <v>1.3333333333333333</v>
      </c>
      <c r="P36" s="128">
        <f t="shared" ref="P36:S36" si="21">K36/F36</f>
        <v>1.4291970802919709</v>
      </c>
      <c r="Q36" s="128">
        <f t="shared" si="21"/>
        <v>1.1907894736842106</v>
      </c>
      <c r="R36" s="127">
        <f t="shared" si="21"/>
        <v>0.75</v>
      </c>
      <c r="S36" s="128">
        <f t="shared" si="21"/>
        <v>0.45945945945945948</v>
      </c>
      <c r="T36" s="116"/>
      <c r="U36" s="91"/>
      <c r="V36" s="91"/>
    </row>
    <row r="37" spans="1:22" ht="14.25" customHeight="1" x14ac:dyDescent="0.3">
      <c r="A37" s="13"/>
      <c r="B37" s="113"/>
      <c r="C37" s="114"/>
      <c r="D37" s="127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116"/>
      <c r="U37" s="91"/>
      <c r="V37" s="91"/>
    </row>
    <row r="38" spans="1:22" ht="14.25" customHeight="1" x14ac:dyDescent="0.3">
      <c r="A38" s="13"/>
      <c r="B38" s="113"/>
      <c r="C38" s="114"/>
      <c r="D38" s="12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138" t="str">
        <f>IF(O36&gt;=0.95,"UNWORKABLE",IF(O36&lt;=0.89,"WORKABLE","NEUTRAL"))</f>
        <v>UNWORKABLE</v>
      </c>
      <c r="P38" s="138" t="str">
        <f t="shared" ref="P38:S38" si="22">IF(P36&gt;=0.95,"UNWORKABLE",IF(P36&lt;=0.89,"WORKABLE","NEUTRAL"))</f>
        <v>UNWORKABLE</v>
      </c>
      <c r="Q38" s="138" t="str">
        <f t="shared" si="22"/>
        <v>UNWORKABLE</v>
      </c>
      <c r="R38" s="138" t="str">
        <f t="shared" si="22"/>
        <v>WORKABLE</v>
      </c>
      <c r="S38" s="138" t="str">
        <f t="shared" si="22"/>
        <v>WORKABLE</v>
      </c>
      <c r="T38" s="116"/>
      <c r="U38" s="91"/>
      <c r="V38" s="91"/>
    </row>
    <row r="39" spans="1:22" ht="14.25" customHeight="1" x14ac:dyDescent="0.25">
      <c r="A39" s="13"/>
      <c r="B39" s="11"/>
      <c r="C39" s="31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31"/>
      <c r="U39" s="29"/>
      <c r="V39" s="29"/>
    </row>
    <row r="40" spans="1:22" ht="14.25" customHeight="1" x14ac:dyDescent="0.3">
      <c r="A40" s="13"/>
      <c r="B40" s="11"/>
      <c r="C40" s="39"/>
      <c r="D40" s="36"/>
      <c r="E40" s="36"/>
      <c r="F40" s="36"/>
      <c r="G40" s="36"/>
      <c r="H40" s="36"/>
      <c r="I40" s="36"/>
      <c r="J40" s="36"/>
      <c r="K40" s="36"/>
      <c r="L40" s="36"/>
      <c r="M40" s="35"/>
      <c r="N40" s="35"/>
      <c r="O40" s="35"/>
      <c r="P40" s="35"/>
      <c r="Q40" s="35"/>
      <c r="R40" s="35"/>
      <c r="S40" s="35"/>
      <c r="T40" s="31"/>
      <c r="U40" s="29"/>
      <c r="V40" s="29"/>
    </row>
    <row r="41" spans="1:22" ht="14.25" customHeight="1" x14ac:dyDescent="0.3">
      <c r="A41" s="9" t="s">
        <v>7</v>
      </c>
      <c r="B41" s="10" t="s">
        <v>8</v>
      </c>
      <c r="C41" s="40" t="s">
        <v>9</v>
      </c>
      <c r="D41" s="24" t="s">
        <v>10</v>
      </c>
      <c r="E41" s="24" t="s">
        <v>11</v>
      </c>
      <c r="F41" s="24" t="s">
        <v>12</v>
      </c>
      <c r="G41" s="24" t="s">
        <v>13</v>
      </c>
      <c r="H41" s="24" t="s">
        <v>14</v>
      </c>
      <c r="I41" s="26" t="s">
        <v>15</v>
      </c>
      <c r="J41" s="23" t="s">
        <v>16</v>
      </c>
      <c r="K41" s="24" t="s">
        <v>17</v>
      </c>
      <c r="L41" s="24" t="s">
        <v>18</v>
      </c>
      <c r="M41" s="24" t="s">
        <v>19</v>
      </c>
      <c r="N41" s="25" t="s">
        <v>20</v>
      </c>
      <c r="O41" s="26" t="s">
        <v>21</v>
      </c>
      <c r="P41" s="24" t="s">
        <v>22</v>
      </c>
      <c r="Q41" s="24" t="s">
        <v>23</v>
      </c>
      <c r="R41" s="24" t="s">
        <v>24</v>
      </c>
      <c r="S41" s="26" t="s">
        <v>25</v>
      </c>
      <c r="T41" s="27" t="s">
        <v>26</v>
      </c>
      <c r="U41" s="24" t="s">
        <v>27</v>
      </c>
      <c r="V41" s="25" t="s">
        <v>28</v>
      </c>
    </row>
    <row r="42" spans="1:22" ht="14.25" customHeight="1" x14ac:dyDescent="0.25">
      <c r="A42" s="13"/>
      <c r="B42" s="15">
        <v>45428</v>
      </c>
      <c r="C42" s="31" t="s">
        <v>47</v>
      </c>
      <c r="D42" s="29" t="s">
        <v>48</v>
      </c>
      <c r="E42" s="29">
        <f>SUM(F42:I42)</f>
        <v>1855</v>
      </c>
      <c r="F42" s="29">
        <v>1813</v>
      </c>
      <c r="G42" s="29">
        <v>13</v>
      </c>
      <c r="H42" s="44">
        <v>14</v>
      </c>
      <c r="I42" s="46">
        <v>15</v>
      </c>
      <c r="J42" s="29">
        <f>SUM(K42:N42)</f>
        <v>1408</v>
      </c>
      <c r="K42" s="29">
        <v>1390</v>
      </c>
      <c r="L42" s="29">
        <v>8</v>
      </c>
      <c r="M42" s="29">
        <v>5</v>
      </c>
      <c r="N42" s="49">
        <v>5</v>
      </c>
      <c r="O42" s="65">
        <f t="shared" ref="O42:S45" si="23">J42/E42</f>
        <v>0.75902964959568731</v>
      </c>
      <c r="P42" s="65">
        <f t="shared" si="23"/>
        <v>0.76668505239933815</v>
      </c>
      <c r="Q42" s="65">
        <f t="shared" si="23"/>
        <v>0.61538461538461542</v>
      </c>
      <c r="R42" s="65">
        <f t="shared" si="23"/>
        <v>0.35714285714285715</v>
      </c>
      <c r="S42" s="65">
        <f t="shared" si="23"/>
        <v>0.33333333333333331</v>
      </c>
      <c r="T42" s="80">
        <v>74131</v>
      </c>
      <c r="U42" s="124">
        <v>2.3300000000000001E-2</v>
      </c>
      <c r="V42" s="88">
        <v>44.7</v>
      </c>
    </row>
    <row r="43" spans="1:22" ht="14.25" customHeight="1" x14ac:dyDescent="0.25">
      <c r="A43" s="13"/>
      <c r="B43" s="15">
        <v>45428</v>
      </c>
      <c r="C43" s="31" t="s">
        <v>47</v>
      </c>
      <c r="D43" s="29" t="s">
        <v>47</v>
      </c>
      <c r="E43" s="29">
        <f>SUM(F43:I43)</f>
        <v>107</v>
      </c>
      <c r="F43" s="29">
        <v>76</v>
      </c>
      <c r="G43" s="29">
        <v>18</v>
      </c>
      <c r="H43" s="29">
        <v>7</v>
      </c>
      <c r="I43" s="46">
        <v>6</v>
      </c>
      <c r="J43" s="29">
        <f>SUM(K43:N43)</f>
        <v>76</v>
      </c>
      <c r="K43" s="29">
        <v>54</v>
      </c>
      <c r="L43" s="29">
        <v>6</v>
      </c>
      <c r="M43" s="29">
        <v>8</v>
      </c>
      <c r="N43" s="49">
        <v>8</v>
      </c>
      <c r="O43" s="65">
        <f t="shared" si="23"/>
        <v>0.71028037383177567</v>
      </c>
      <c r="P43" s="65">
        <f t="shared" si="23"/>
        <v>0.71052631578947367</v>
      </c>
      <c r="Q43" s="65">
        <f t="shared" si="23"/>
        <v>0.33333333333333331</v>
      </c>
      <c r="R43" s="65">
        <f t="shared" si="23"/>
        <v>1.1428571428571428</v>
      </c>
      <c r="S43" s="65">
        <f t="shared" si="23"/>
        <v>1.3333333333333333</v>
      </c>
      <c r="T43" s="77">
        <v>53786</v>
      </c>
      <c r="U43" s="122">
        <v>6.0299999999999999E-2</v>
      </c>
      <c r="V43" s="49">
        <v>44.6</v>
      </c>
    </row>
    <row r="44" spans="1:22" ht="14.25" customHeight="1" x14ac:dyDescent="0.25">
      <c r="A44" s="13"/>
      <c r="B44" s="15">
        <v>45428</v>
      </c>
      <c r="C44" s="31" t="s">
        <v>47</v>
      </c>
      <c r="D44" s="29" t="s">
        <v>50</v>
      </c>
      <c r="E44" s="29">
        <f>SUM(F44:I44)</f>
        <v>72</v>
      </c>
      <c r="F44" s="29">
        <v>56</v>
      </c>
      <c r="G44" s="29">
        <v>5</v>
      </c>
      <c r="H44" s="29">
        <v>3</v>
      </c>
      <c r="I44" s="46">
        <v>8</v>
      </c>
      <c r="J44" s="29">
        <f>SUM(K44:N44)</f>
        <v>54</v>
      </c>
      <c r="K44" s="29">
        <v>44</v>
      </c>
      <c r="L44" s="29">
        <v>0</v>
      </c>
      <c r="M44" s="29">
        <v>2</v>
      </c>
      <c r="N44" s="49">
        <v>8</v>
      </c>
      <c r="O44" s="65">
        <f t="shared" si="23"/>
        <v>0.75</v>
      </c>
      <c r="P44" s="65">
        <f t="shared" si="23"/>
        <v>0.7857142857142857</v>
      </c>
      <c r="Q44" s="65">
        <f t="shared" si="23"/>
        <v>0</v>
      </c>
      <c r="R44" s="65">
        <f t="shared" si="23"/>
        <v>0.66666666666666663</v>
      </c>
      <c r="S44" s="98">
        <f t="shared" si="23"/>
        <v>1</v>
      </c>
      <c r="T44" s="77">
        <v>24876</v>
      </c>
      <c r="U44" s="122">
        <v>2.7600000000000003E-2</v>
      </c>
      <c r="V44" s="49">
        <v>42.2</v>
      </c>
    </row>
    <row r="45" spans="1:22" ht="14.25" customHeight="1" x14ac:dyDescent="0.25">
      <c r="A45" s="13"/>
      <c r="B45" s="15">
        <v>45428</v>
      </c>
      <c r="C45" s="31" t="s">
        <v>47</v>
      </c>
      <c r="D45" s="29" t="s">
        <v>40</v>
      </c>
      <c r="E45" s="29">
        <f>SUM(F45:I45)</f>
        <v>299</v>
      </c>
      <c r="F45" s="29">
        <v>278</v>
      </c>
      <c r="G45" s="29">
        <v>7</v>
      </c>
      <c r="H45" s="29">
        <v>8</v>
      </c>
      <c r="I45" s="46">
        <v>6</v>
      </c>
      <c r="J45" s="29">
        <f>SUM(K45:N45)</f>
        <v>182</v>
      </c>
      <c r="K45" s="29">
        <v>178</v>
      </c>
      <c r="L45" s="29">
        <v>2</v>
      </c>
      <c r="M45" s="29">
        <v>0</v>
      </c>
      <c r="N45" s="49">
        <v>2</v>
      </c>
      <c r="O45" s="65">
        <f t="shared" si="23"/>
        <v>0.60869565217391308</v>
      </c>
      <c r="P45" s="65">
        <f t="shared" si="23"/>
        <v>0.64028776978417268</v>
      </c>
      <c r="Q45" s="65">
        <f t="shared" si="23"/>
        <v>0.2857142857142857</v>
      </c>
      <c r="R45" s="65">
        <f t="shared" si="23"/>
        <v>0</v>
      </c>
      <c r="S45" s="65">
        <f t="shared" si="23"/>
        <v>0.33333333333333331</v>
      </c>
      <c r="T45" s="77">
        <v>19683</v>
      </c>
      <c r="U45" s="122">
        <v>4.9599999999999998E-2</v>
      </c>
      <c r="V45" s="49">
        <v>42.2</v>
      </c>
    </row>
    <row r="46" spans="1:22" ht="14.25" customHeight="1" x14ac:dyDescent="0.25">
      <c r="A46" s="13"/>
      <c r="B46" s="15">
        <v>45428</v>
      </c>
      <c r="C46" s="31" t="s">
        <v>47</v>
      </c>
      <c r="D46" s="31" t="s">
        <v>49</v>
      </c>
      <c r="E46" s="29">
        <f>SUM(F46:I46)</f>
        <v>30</v>
      </c>
      <c r="F46" s="29">
        <v>25</v>
      </c>
      <c r="G46" s="29">
        <v>5</v>
      </c>
      <c r="H46" s="29">
        <v>0</v>
      </c>
      <c r="I46" s="46">
        <v>0</v>
      </c>
      <c r="J46" s="29">
        <f>SUM(K46:N46)</f>
        <v>18</v>
      </c>
      <c r="K46" s="29">
        <v>16</v>
      </c>
      <c r="L46" s="29">
        <v>0</v>
      </c>
      <c r="M46" s="29">
        <v>1</v>
      </c>
      <c r="N46" s="49">
        <v>1</v>
      </c>
      <c r="O46" s="65">
        <f>J46/E46</f>
        <v>0.6</v>
      </c>
      <c r="P46" s="65">
        <f>K46/F46</f>
        <v>0.64</v>
      </c>
      <c r="Q46" s="65">
        <f>L46/G46</f>
        <v>0</v>
      </c>
      <c r="R46" s="98">
        <v>0</v>
      </c>
      <c r="S46" s="65">
        <v>0</v>
      </c>
      <c r="T46" s="77">
        <v>3481</v>
      </c>
      <c r="U46" s="122">
        <v>4.65E-2</v>
      </c>
      <c r="V46" s="49">
        <v>42.2</v>
      </c>
    </row>
    <row r="47" spans="1:22" ht="14.25" customHeight="1" thickBot="1" x14ac:dyDescent="0.35">
      <c r="A47" s="13"/>
      <c r="B47" s="16"/>
      <c r="C47" s="34"/>
      <c r="D47" s="37"/>
      <c r="E47" s="43"/>
      <c r="F47" s="43"/>
      <c r="G47" s="43"/>
      <c r="H47" s="43"/>
      <c r="I47" s="47"/>
      <c r="J47" s="43"/>
      <c r="K47" s="43"/>
      <c r="L47" s="43"/>
      <c r="M47" s="43"/>
      <c r="N47" s="51"/>
      <c r="O47" s="43"/>
      <c r="P47" s="43"/>
      <c r="Q47" s="43"/>
      <c r="R47" s="43"/>
      <c r="S47" s="43"/>
      <c r="T47" s="78"/>
      <c r="U47" s="43"/>
      <c r="V47" s="51"/>
    </row>
    <row r="48" spans="1:22" ht="14.25" customHeight="1" x14ac:dyDescent="0.3">
      <c r="A48" s="13"/>
      <c r="B48" s="127" t="s">
        <v>100</v>
      </c>
      <c r="C48" s="114"/>
      <c r="D48" s="130"/>
      <c r="E48" s="127">
        <f>SUM(E42:E46)</f>
        <v>2363</v>
      </c>
      <c r="F48" s="127">
        <f t="shared" ref="F48:N48" si="24">SUM(F42:F46)</f>
        <v>2248</v>
      </c>
      <c r="G48" s="127">
        <f t="shared" si="24"/>
        <v>48</v>
      </c>
      <c r="H48" s="127">
        <f t="shared" si="24"/>
        <v>32</v>
      </c>
      <c r="I48" s="127">
        <f t="shared" si="24"/>
        <v>35</v>
      </c>
      <c r="J48" s="127">
        <f t="shared" si="24"/>
        <v>1738</v>
      </c>
      <c r="K48" s="127">
        <f t="shared" si="24"/>
        <v>1682</v>
      </c>
      <c r="L48" s="127">
        <f t="shared" si="24"/>
        <v>16</v>
      </c>
      <c r="M48" s="127">
        <f t="shared" si="24"/>
        <v>16</v>
      </c>
      <c r="N48" s="127">
        <f t="shared" si="24"/>
        <v>24</v>
      </c>
      <c r="O48" s="128">
        <f>J48/E48</f>
        <v>0.73550571307659751</v>
      </c>
      <c r="P48" s="128">
        <f t="shared" ref="P48:S48" si="25">K48/F48</f>
        <v>0.74822064056939497</v>
      </c>
      <c r="Q48" s="128">
        <f t="shared" si="25"/>
        <v>0.33333333333333331</v>
      </c>
      <c r="R48" s="127">
        <f t="shared" si="25"/>
        <v>0.5</v>
      </c>
      <c r="S48" s="128">
        <f t="shared" si="25"/>
        <v>0.68571428571428572</v>
      </c>
      <c r="T48" s="116"/>
      <c r="U48" s="91"/>
      <c r="V48" s="91"/>
    </row>
    <row r="49" spans="1:22" ht="14.25" customHeight="1" x14ac:dyDescent="0.3">
      <c r="A49" s="13"/>
      <c r="B49" s="113"/>
      <c r="C49" s="114"/>
      <c r="D49" s="130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116"/>
      <c r="U49" s="91"/>
      <c r="V49" s="91"/>
    </row>
    <row r="50" spans="1:22" ht="14.25" customHeight="1" x14ac:dyDescent="0.3">
      <c r="A50" s="13"/>
      <c r="B50" s="113"/>
      <c r="C50" s="114"/>
      <c r="D50" s="130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138" t="str">
        <f>IF(O48&gt;=0.95,"UNWORKABLE",IF(O48&lt;=0.89,"WORKABLE","NEUTRAL"))</f>
        <v>WORKABLE</v>
      </c>
      <c r="P50" s="138" t="str">
        <f t="shared" ref="P50:S50" si="26">IF(P48&gt;=0.95,"UNWORKABLE",IF(P48&lt;=0.89,"WORKABLE","NEUTRAL"))</f>
        <v>WORKABLE</v>
      </c>
      <c r="Q50" s="138" t="str">
        <f t="shared" si="26"/>
        <v>WORKABLE</v>
      </c>
      <c r="R50" s="138" t="str">
        <f t="shared" si="26"/>
        <v>WORKABLE</v>
      </c>
      <c r="S50" s="138" t="str">
        <f t="shared" si="26"/>
        <v>WORKABLE</v>
      </c>
      <c r="T50" s="116"/>
      <c r="U50" s="91"/>
      <c r="V50" s="91"/>
    </row>
    <row r="51" spans="1:22" ht="14.25" customHeight="1" thickBot="1" x14ac:dyDescent="0.35">
      <c r="A51" s="13"/>
      <c r="B51" s="11"/>
      <c r="C51" s="31"/>
      <c r="D51" s="36"/>
      <c r="E51" s="36"/>
      <c r="F51" s="36"/>
      <c r="G51" s="36"/>
      <c r="H51" s="36"/>
      <c r="I51" s="36"/>
      <c r="J51" s="36"/>
      <c r="K51" s="36"/>
      <c r="L51" s="36"/>
      <c r="M51" s="35"/>
      <c r="N51" s="35"/>
      <c r="O51" s="36"/>
      <c r="P51" s="36"/>
      <c r="Q51" s="36"/>
      <c r="R51" s="29"/>
      <c r="S51" s="29"/>
      <c r="T51" s="31"/>
      <c r="U51" s="29"/>
      <c r="V51" s="29"/>
    </row>
    <row r="52" spans="1:22" ht="14.25" customHeight="1" x14ac:dyDescent="0.3">
      <c r="A52" s="9" t="s">
        <v>7</v>
      </c>
      <c r="B52" s="10" t="s">
        <v>8</v>
      </c>
      <c r="C52" s="40" t="s">
        <v>9</v>
      </c>
      <c r="D52" s="24" t="s">
        <v>10</v>
      </c>
      <c r="E52" s="24" t="s">
        <v>11</v>
      </c>
      <c r="F52" s="24" t="s">
        <v>12</v>
      </c>
      <c r="G52" s="24" t="s">
        <v>13</v>
      </c>
      <c r="H52" s="24" t="s">
        <v>14</v>
      </c>
      <c r="I52" s="26" t="s">
        <v>15</v>
      </c>
      <c r="J52" s="23" t="s">
        <v>16</v>
      </c>
      <c r="K52" s="24" t="s">
        <v>17</v>
      </c>
      <c r="L52" s="24" t="s">
        <v>18</v>
      </c>
      <c r="M52" s="24" t="s">
        <v>19</v>
      </c>
      <c r="N52" s="25" t="s">
        <v>20</v>
      </c>
      <c r="O52" s="26" t="s">
        <v>21</v>
      </c>
      <c r="P52" s="24" t="s">
        <v>22</v>
      </c>
      <c r="Q52" s="24" t="s">
        <v>23</v>
      </c>
      <c r="R52" s="24" t="s">
        <v>24</v>
      </c>
      <c r="S52" s="26" t="s">
        <v>25</v>
      </c>
      <c r="T52" s="27" t="s">
        <v>26</v>
      </c>
      <c r="U52" s="24" t="s">
        <v>27</v>
      </c>
      <c r="V52" s="25" t="s">
        <v>28</v>
      </c>
    </row>
    <row r="53" spans="1:22" ht="14.25" customHeight="1" x14ac:dyDescent="0.25">
      <c r="A53" s="13"/>
      <c r="B53" s="15">
        <v>45428</v>
      </c>
      <c r="C53" s="31" t="s">
        <v>45</v>
      </c>
      <c r="D53" s="29" t="s">
        <v>51</v>
      </c>
      <c r="E53" s="29">
        <f>SUM(F53:I53)</f>
        <v>392</v>
      </c>
      <c r="F53" s="29">
        <v>235</v>
      </c>
      <c r="G53" s="29">
        <v>79</v>
      </c>
      <c r="H53" s="44">
        <v>27</v>
      </c>
      <c r="I53" s="46">
        <v>51</v>
      </c>
      <c r="J53" s="29">
        <f>SUM(K53:N53)</f>
        <v>232</v>
      </c>
      <c r="K53" s="29">
        <v>163</v>
      </c>
      <c r="L53" s="29">
        <v>39</v>
      </c>
      <c r="M53" s="29">
        <v>12</v>
      </c>
      <c r="N53" s="49">
        <v>18</v>
      </c>
      <c r="O53" s="65">
        <f t="shared" ref="O53:S53" si="27">J53/E53</f>
        <v>0.59183673469387754</v>
      </c>
      <c r="P53" s="65">
        <f t="shared" si="27"/>
        <v>0.69361702127659575</v>
      </c>
      <c r="Q53" s="65">
        <f t="shared" si="27"/>
        <v>0.49367088607594939</v>
      </c>
      <c r="R53" s="65">
        <f t="shared" si="27"/>
        <v>0.44444444444444442</v>
      </c>
      <c r="S53" s="65">
        <f t="shared" si="27"/>
        <v>0.35294117647058826</v>
      </c>
      <c r="T53" s="80">
        <v>8735</v>
      </c>
      <c r="U53" s="124">
        <v>5.4600000000000003E-2</v>
      </c>
      <c r="V53" s="88">
        <v>42.4</v>
      </c>
    </row>
    <row r="54" spans="1:22" ht="14.25" customHeight="1" x14ac:dyDescent="0.25">
      <c r="A54" s="13"/>
      <c r="B54" s="15">
        <v>45428</v>
      </c>
      <c r="C54" s="31" t="s">
        <v>45</v>
      </c>
      <c r="D54" s="29" t="s">
        <v>52</v>
      </c>
      <c r="E54" s="29">
        <f t="shared" ref="E54:E57" si="28">SUM(F54:I54)</f>
        <v>1</v>
      </c>
      <c r="F54" s="29">
        <v>0</v>
      </c>
      <c r="G54" s="29">
        <v>1</v>
      </c>
      <c r="H54" s="29">
        <v>0</v>
      </c>
      <c r="I54" s="46">
        <v>0</v>
      </c>
      <c r="J54" s="29">
        <f t="shared" ref="J54:J57" si="29">SUM(K54:N54)</f>
        <v>3</v>
      </c>
      <c r="K54" s="29">
        <v>3</v>
      </c>
      <c r="L54" s="29">
        <v>0</v>
      </c>
      <c r="M54" s="29">
        <v>0</v>
      </c>
      <c r="N54" s="49">
        <v>0</v>
      </c>
      <c r="O54" s="65">
        <f t="shared" ref="O54:Q54" si="30">J54/E54</f>
        <v>3</v>
      </c>
      <c r="P54" s="98">
        <v>0</v>
      </c>
      <c r="Q54" s="98">
        <f t="shared" si="30"/>
        <v>0</v>
      </c>
      <c r="R54" s="98">
        <v>0</v>
      </c>
      <c r="S54" s="98">
        <v>0</v>
      </c>
      <c r="T54" s="79">
        <v>877</v>
      </c>
      <c r="U54" s="122">
        <v>3.5400000000000001E-2</v>
      </c>
      <c r="V54" s="49">
        <v>30.46</v>
      </c>
    </row>
    <row r="55" spans="1:22" ht="14.25" customHeight="1" x14ac:dyDescent="0.25">
      <c r="A55" s="13"/>
      <c r="B55" s="15">
        <v>45428</v>
      </c>
      <c r="C55" s="31" t="s">
        <v>45</v>
      </c>
      <c r="D55" s="29" t="s">
        <v>53</v>
      </c>
      <c r="E55" s="29">
        <f t="shared" si="28"/>
        <v>262</v>
      </c>
      <c r="F55" s="29">
        <v>196</v>
      </c>
      <c r="G55" s="29">
        <v>31</v>
      </c>
      <c r="H55" s="29">
        <v>18</v>
      </c>
      <c r="I55" s="46">
        <v>17</v>
      </c>
      <c r="J55" s="29">
        <f t="shared" si="29"/>
        <v>244</v>
      </c>
      <c r="K55" s="29">
        <v>204</v>
      </c>
      <c r="L55" s="29">
        <v>28</v>
      </c>
      <c r="M55" s="29">
        <v>8</v>
      </c>
      <c r="N55" s="49">
        <v>4</v>
      </c>
      <c r="O55" s="65">
        <f t="shared" ref="O55:S55" si="31">J55/E55</f>
        <v>0.93129770992366412</v>
      </c>
      <c r="P55" s="65">
        <f t="shared" si="31"/>
        <v>1.0408163265306123</v>
      </c>
      <c r="Q55" s="65">
        <f t="shared" si="31"/>
        <v>0.90322580645161288</v>
      </c>
      <c r="R55" s="65">
        <f t="shared" si="31"/>
        <v>0.44444444444444442</v>
      </c>
      <c r="S55" s="65">
        <f t="shared" si="31"/>
        <v>0.23529411764705882</v>
      </c>
      <c r="T55" s="79">
        <v>63</v>
      </c>
      <c r="U55" s="122">
        <v>3.5200000000000002E-2</v>
      </c>
      <c r="V55" s="49">
        <v>43.2</v>
      </c>
    </row>
    <row r="56" spans="1:22" ht="14.25" customHeight="1" x14ac:dyDescent="0.25">
      <c r="A56" s="13"/>
      <c r="B56" s="15">
        <v>45428</v>
      </c>
      <c r="C56" s="31" t="s">
        <v>45</v>
      </c>
      <c r="D56" s="31" t="s">
        <v>54</v>
      </c>
      <c r="E56" s="29">
        <f t="shared" si="28"/>
        <v>74</v>
      </c>
      <c r="F56" s="29">
        <v>73</v>
      </c>
      <c r="G56" s="29">
        <v>1</v>
      </c>
      <c r="H56" s="29">
        <v>0</v>
      </c>
      <c r="I56" s="46">
        <v>0</v>
      </c>
      <c r="J56" s="29">
        <f t="shared" si="29"/>
        <v>38</v>
      </c>
      <c r="K56" s="29">
        <v>38</v>
      </c>
      <c r="L56" s="29">
        <v>0</v>
      </c>
      <c r="M56" s="29">
        <v>0</v>
      </c>
      <c r="N56" s="49">
        <v>0</v>
      </c>
      <c r="O56" s="65">
        <f t="shared" ref="O56:Q56" si="32">J56/E56</f>
        <v>0.51351351351351349</v>
      </c>
      <c r="P56" s="65">
        <f t="shared" si="32"/>
        <v>0.52054794520547942</v>
      </c>
      <c r="Q56" s="65">
        <f t="shared" si="32"/>
        <v>0</v>
      </c>
      <c r="R56" s="65">
        <v>0</v>
      </c>
      <c r="S56" s="65">
        <v>0</v>
      </c>
      <c r="T56" s="77">
        <v>9530</v>
      </c>
      <c r="U56" s="122">
        <v>3.9199999999999999E-2</v>
      </c>
      <c r="V56" s="49">
        <v>29</v>
      </c>
    </row>
    <row r="57" spans="1:22" ht="14.25" customHeight="1" x14ac:dyDescent="0.25">
      <c r="A57" s="13"/>
      <c r="B57" s="15">
        <v>45428</v>
      </c>
      <c r="C57" s="31" t="s">
        <v>45</v>
      </c>
      <c r="D57" s="29" t="s">
        <v>55</v>
      </c>
      <c r="E57" s="29">
        <f t="shared" si="28"/>
        <v>138</v>
      </c>
      <c r="F57" s="29">
        <v>70</v>
      </c>
      <c r="G57" s="29">
        <v>55</v>
      </c>
      <c r="H57" s="29">
        <v>3</v>
      </c>
      <c r="I57" s="46">
        <v>10</v>
      </c>
      <c r="J57" s="29">
        <f t="shared" si="29"/>
        <v>119</v>
      </c>
      <c r="K57" s="29">
        <v>51</v>
      </c>
      <c r="L57" s="29">
        <v>57</v>
      </c>
      <c r="M57" s="29">
        <v>3</v>
      </c>
      <c r="N57" s="49">
        <v>8</v>
      </c>
      <c r="O57" s="65">
        <f t="shared" ref="O57:S57" si="33">J57/E57</f>
        <v>0.8623188405797102</v>
      </c>
      <c r="P57" s="65">
        <f t="shared" si="33"/>
        <v>0.72857142857142854</v>
      </c>
      <c r="Q57" s="65">
        <f t="shared" si="33"/>
        <v>1.0363636363636364</v>
      </c>
      <c r="R57" s="65">
        <f t="shared" si="33"/>
        <v>1</v>
      </c>
      <c r="S57" s="65">
        <f t="shared" si="33"/>
        <v>0.8</v>
      </c>
      <c r="T57" s="77">
        <v>1025</v>
      </c>
      <c r="U57" s="122">
        <v>3.5900000000000001E-2</v>
      </c>
      <c r="V57" s="49">
        <v>42.9</v>
      </c>
    </row>
    <row r="58" spans="1:22" ht="14.25" customHeight="1" thickBot="1" x14ac:dyDescent="0.35">
      <c r="A58" s="13"/>
      <c r="B58" s="16"/>
      <c r="C58" s="34"/>
      <c r="D58" s="36"/>
      <c r="E58" s="43"/>
      <c r="F58" s="43"/>
      <c r="G58" s="43"/>
      <c r="H58" s="43"/>
      <c r="I58" s="47"/>
      <c r="J58" s="43"/>
      <c r="K58" s="43"/>
      <c r="L58" s="43"/>
      <c r="M58" s="43"/>
      <c r="N58" s="51"/>
      <c r="O58" s="43"/>
      <c r="P58" s="43"/>
      <c r="Q58" s="43"/>
      <c r="R58" s="43"/>
      <c r="S58" s="43"/>
      <c r="T58" s="78"/>
      <c r="U58" s="43"/>
      <c r="V58" s="51"/>
    </row>
    <row r="59" spans="1:22" ht="14.25" customHeight="1" x14ac:dyDescent="0.3">
      <c r="A59" s="13"/>
      <c r="B59" s="127" t="s">
        <v>100</v>
      </c>
      <c r="C59" s="114"/>
      <c r="D59" s="127"/>
      <c r="E59" s="134">
        <f>SUM(E53:E57)</f>
        <v>867</v>
      </c>
      <c r="F59" s="134">
        <f t="shared" ref="F59:M59" si="34">SUM(F53:F57)</f>
        <v>574</v>
      </c>
      <c r="G59" s="134">
        <f t="shared" si="34"/>
        <v>167</v>
      </c>
      <c r="H59" s="134">
        <f t="shared" si="34"/>
        <v>48</v>
      </c>
      <c r="I59" s="134">
        <f t="shared" si="34"/>
        <v>78</v>
      </c>
      <c r="J59" s="134">
        <f t="shared" si="34"/>
        <v>636</v>
      </c>
      <c r="K59" s="134">
        <f t="shared" si="34"/>
        <v>459</v>
      </c>
      <c r="L59" s="134">
        <f t="shared" si="34"/>
        <v>124</v>
      </c>
      <c r="M59" s="134">
        <f t="shared" si="34"/>
        <v>23</v>
      </c>
      <c r="N59" s="134">
        <f>SUM(N53:N57)</f>
        <v>30</v>
      </c>
      <c r="O59" s="128">
        <f>J59/E59</f>
        <v>0.73356401384083048</v>
      </c>
      <c r="P59" s="128">
        <f t="shared" ref="P59:S59" si="35">K59/F59</f>
        <v>0.79965156794425085</v>
      </c>
      <c r="Q59" s="128">
        <f t="shared" si="35"/>
        <v>0.74251497005988021</v>
      </c>
      <c r="R59" s="128">
        <f t="shared" si="35"/>
        <v>0.47916666666666669</v>
      </c>
      <c r="S59" s="128">
        <f t="shared" si="35"/>
        <v>0.38461538461538464</v>
      </c>
      <c r="T59" s="116"/>
      <c r="U59" s="91"/>
      <c r="V59" s="91"/>
    </row>
    <row r="60" spans="1:22" ht="14.25" customHeight="1" x14ac:dyDescent="0.3">
      <c r="A60" s="13"/>
      <c r="B60" s="113"/>
      <c r="C60" s="114"/>
      <c r="D60" s="127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116"/>
      <c r="U60" s="91"/>
      <c r="V60" s="91"/>
    </row>
    <row r="61" spans="1:22" ht="14.25" customHeight="1" x14ac:dyDescent="0.3">
      <c r="A61" s="13"/>
      <c r="B61" s="113"/>
      <c r="C61" s="114"/>
      <c r="D61" s="127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138" t="str">
        <f>IF(O59&gt;=0.95,"UNWORKABLE",IF(O59&lt;=0.89,"WORKABLE","NEUTRAL"))</f>
        <v>WORKABLE</v>
      </c>
      <c r="P61" s="138" t="str">
        <f t="shared" ref="P61:S61" si="36">IF(P59&gt;=0.95,"UNWORKABLE",IF(P59&lt;=0.89,"WORKABLE","NEUTRAL"))</f>
        <v>WORKABLE</v>
      </c>
      <c r="Q61" s="138" t="str">
        <f t="shared" si="36"/>
        <v>WORKABLE</v>
      </c>
      <c r="R61" s="138" t="str">
        <f t="shared" si="36"/>
        <v>WORKABLE</v>
      </c>
      <c r="S61" s="138" t="str">
        <f t="shared" si="36"/>
        <v>WORKABLE</v>
      </c>
      <c r="T61" s="116"/>
      <c r="U61" s="91"/>
      <c r="V61" s="91"/>
    </row>
    <row r="62" spans="1:22" ht="14.25" customHeight="1" thickBot="1" x14ac:dyDescent="0.35">
      <c r="A62" s="13"/>
      <c r="B62" s="11"/>
      <c r="C62" s="39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1"/>
      <c r="U62" s="29"/>
      <c r="V62" s="29"/>
    </row>
    <row r="63" spans="1:22" ht="14.25" customHeight="1" x14ac:dyDescent="0.3">
      <c r="A63" s="9" t="s">
        <v>7</v>
      </c>
      <c r="B63" s="10" t="s">
        <v>8</v>
      </c>
      <c r="C63" s="40" t="s">
        <v>9</v>
      </c>
      <c r="D63" s="24" t="s">
        <v>10</v>
      </c>
      <c r="E63" s="24" t="s">
        <v>11</v>
      </c>
      <c r="F63" s="24" t="s">
        <v>12</v>
      </c>
      <c r="G63" s="24" t="s">
        <v>13</v>
      </c>
      <c r="H63" s="24" t="s">
        <v>14</v>
      </c>
      <c r="I63" s="26" t="s">
        <v>15</v>
      </c>
      <c r="J63" s="23" t="s">
        <v>16</v>
      </c>
      <c r="K63" s="24" t="s">
        <v>17</v>
      </c>
      <c r="L63" s="24" t="s">
        <v>18</v>
      </c>
      <c r="M63" s="24" t="s">
        <v>19</v>
      </c>
      <c r="N63" s="25" t="s">
        <v>20</v>
      </c>
      <c r="O63" s="26" t="s">
        <v>21</v>
      </c>
      <c r="P63" s="24" t="s">
        <v>22</v>
      </c>
      <c r="Q63" s="24" t="s">
        <v>23</v>
      </c>
      <c r="R63" s="24" t="s">
        <v>24</v>
      </c>
      <c r="S63" s="26" t="s">
        <v>25</v>
      </c>
      <c r="T63" s="27" t="s">
        <v>26</v>
      </c>
      <c r="U63" s="24" t="s">
        <v>27</v>
      </c>
      <c r="V63" s="25" t="s">
        <v>28</v>
      </c>
    </row>
    <row r="64" spans="1:22" ht="14.25" customHeight="1" x14ac:dyDescent="0.25">
      <c r="A64" s="13"/>
      <c r="B64" s="15">
        <v>45428</v>
      </c>
      <c r="C64" s="31" t="s">
        <v>56</v>
      </c>
      <c r="D64" s="29" t="s">
        <v>57</v>
      </c>
      <c r="E64" s="29">
        <f>SUM(F64:I64)</f>
        <v>673</v>
      </c>
      <c r="F64" s="29">
        <v>488</v>
      </c>
      <c r="G64" s="29">
        <v>80</v>
      </c>
      <c r="H64" s="29">
        <v>27</v>
      </c>
      <c r="I64" s="46">
        <v>78</v>
      </c>
      <c r="J64" s="29">
        <f>SUM(K64:N64)</f>
        <v>930</v>
      </c>
      <c r="K64" s="29">
        <v>806</v>
      </c>
      <c r="L64" s="29">
        <v>79</v>
      </c>
      <c r="M64" s="29">
        <v>18</v>
      </c>
      <c r="N64" s="29">
        <v>27</v>
      </c>
      <c r="O64" s="67">
        <f t="shared" ref="O64:S64" si="37">J64/E64</f>
        <v>1.3818722139673105</v>
      </c>
      <c r="P64" s="65">
        <f t="shared" si="37"/>
        <v>1.651639344262295</v>
      </c>
      <c r="Q64" s="65">
        <f t="shared" si="37"/>
        <v>0.98750000000000004</v>
      </c>
      <c r="R64" s="65">
        <f t="shared" si="37"/>
        <v>0.66666666666666663</v>
      </c>
      <c r="S64" s="65">
        <f t="shared" si="37"/>
        <v>0.34615384615384615</v>
      </c>
      <c r="T64" s="80">
        <v>62351</v>
      </c>
      <c r="U64" s="124">
        <v>7.2400000000000006E-2</v>
      </c>
      <c r="V64" s="88">
        <v>37.6</v>
      </c>
    </row>
    <row r="65" spans="1:22" ht="14.25" customHeight="1" x14ac:dyDescent="0.25">
      <c r="A65" s="13"/>
      <c r="B65" s="15">
        <v>45428</v>
      </c>
      <c r="C65" s="31" t="s">
        <v>56</v>
      </c>
      <c r="D65" s="29" t="s">
        <v>58</v>
      </c>
      <c r="E65" s="29">
        <f t="shared" ref="E65:E68" si="38">SUM(F65:I65)</f>
        <v>807</v>
      </c>
      <c r="F65" s="29">
        <v>645</v>
      </c>
      <c r="G65" s="29">
        <v>122</v>
      </c>
      <c r="H65" s="29">
        <v>10</v>
      </c>
      <c r="I65" s="46">
        <v>30</v>
      </c>
      <c r="J65" s="29">
        <f t="shared" ref="J65:J68" si="39">SUM(K65:N65)</f>
        <v>1207</v>
      </c>
      <c r="K65" s="29">
        <v>1015</v>
      </c>
      <c r="L65" s="29">
        <v>160</v>
      </c>
      <c r="M65" s="29">
        <v>12</v>
      </c>
      <c r="N65" s="29">
        <v>20</v>
      </c>
      <c r="O65" s="67">
        <f t="shared" ref="O65:S65" si="40">J65/E65</f>
        <v>1.4956629491945477</v>
      </c>
      <c r="P65" s="65">
        <f t="shared" si="40"/>
        <v>1.5736434108527131</v>
      </c>
      <c r="Q65" s="65">
        <f t="shared" si="40"/>
        <v>1.3114754098360655</v>
      </c>
      <c r="R65" s="65">
        <f t="shared" si="40"/>
        <v>1.2</v>
      </c>
      <c r="S65" s="65">
        <f t="shared" si="40"/>
        <v>0.66666666666666663</v>
      </c>
      <c r="T65" s="77">
        <v>2262</v>
      </c>
      <c r="U65" s="122">
        <v>7.4400000000000008E-2</v>
      </c>
      <c r="V65" s="49">
        <v>37.1</v>
      </c>
    </row>
    <row r="66" spans="1:22" ht="14.25" customHeight="1" x14ac:dyDescent="0.25">
      <c r="A66" s="13"/>
      <c r="B66" s="15">
        <v>45428</v>
      </c>
      <c r="C66" s="31" t="s">
        <v>56</v>
      </c>
      <c r="D66" s="29" t="s">
        <v>59</v>
      </c>
      <c r="E66" s="29">
        <f t="shared" si="38"/>
        <v>0</v>
      </c>
      <c r="F66" s="29">
        <v>0</v>
      </c>
      <c r="G66" s="29">
        <v>0</v>
      </c>
      <c r="H66" s="29">
        <v>0</v>
      </c>
      <c r="I66" s="46">
        <v>0</v>
      </c>
      <c r="J66" s="29">
        <f t="shared" si="39"/>
        <v>0</v>
      </c>
      <c r="K66" s="29">
        <v>0</v>
      </c>
      <c r="L66" s="29">
        <v>0</v>
      </c>
      <c r="M66" s="29">
        <v>0</v>
      </c>
      <c r="N66" s="29">
        <v>0</v>
      </c>
      <c r="O66" s="131">
        <v>0</v>
      </c>
      <c r="P66" s="98">
        <v>0</v>
      </c>
      <c r="Q66" s="98">
        <v>0</v>
      </c>
      <c r="R66" s="98">
        <v>0</v>
      </c>
      <c r="S66" s="98">
        <v>0</v>
      </c>
      <c r="T66" s="79"/>
      <c r="U66" s="125">
        <v>0</v>
      </c>
      <c r="V66" s="49"/>
    </row>
    <row r="67" spans="1:22" ht="14.25" customHeight="1" x14ac:dyDescent="0.25">
      <c r="A67" s="13"/>
      <c r="B67" s="15">
        <v>45429</v>
      </c>
      <c r="C67" s="31" t="s">
        <v>56</v>
      </c>
      <c r="D67" s="31" t="s">
        <v>60</v>
      </c>
      <c r="E67" s="29">
        <f t="shared" si="38"/>
        <v>9</v>
      </c>
      <c r="F67" s="29">
        <v>5</v>
      </c>
      <c r="G67" s="29">
        <v>0</v>
      </c>
      <c r="H67" s="29">
        <v>1</v>
      </c>
      <c r="I67" s="46">
        <v>3</v>
      </c>
      <c r="J67" s="29">
        <f t="shared" si="39"/>
        <v>1</v>
      </c>
      <c r="K67" s="29">
        <v>0</v>
      </c>
      <c r="L67" s="29">
        <v>1</v>
      </c>
      <c r="M67" s="29">
        <v>0</v>
      </c>
      <c r="N67" s="29">
        <v>0</v>
      </c>
      <c r="O67" s="67">
        <f t="shared" ref="O67:S67" si="41">J67/E67</f>
        <v>0.1111111111111111</v>
      </c>
      <c r="P67" s="98">
        <f t="shared" si="41"/>
        <v>0</v>
      </c>
      <c r="Q67" s="98">
        <v>0</v>
      </c>
      <c r="R67" s="98">
        <f t="shared" si="41"/>
        <v>0</v>
      </c>
      <c r="S67" s="98">
        <f t="shared" si="41"/>
        <v>0</v>
      </c>
      <c r="T67" s="77">
        <v>1874</v>
      </c>
      <c r="U67" s="122">
        <v>3.44E-2</v>
      </c>
      <c r="V67" s="49" t="s">
        <v>61</v>
      </c>
    </row>
    <row r="68" spans="1:22" ht="14.25" customHeight="1" x14ac:dyDescent="0.25">
      <c r="A68" s="13"/>
      <c r="B68" s="15">
        <v>45429</v>
      </c>
      <c r="C68" s="31" t="s">
        <v>56</v>
      </c>
      <c r="D68" s="29" t="s">
        <v>62</v>
      </c>
      <c r="E68" s="29">
        <f t="shared" si="38"/>
        <v>28</v>
      </c>
      <c r="F68" s="29">
        <v>20</v>
      </c>
      <c r="G68" s="29">
        <v>0</v>
      </c>
      <c r="H68" s="29">
        <v>2</v>
      </c>
      <c r="I68" s="46">
        <v>6</v>
      </c>
      <c r="J68" s="29">
        <f t="shared" si="39"/>
        <v>4</v>
      </c>
      <c r="K68" s="29">
        <v>4</v>
      </c>
      <c r="L68" s="29">
        <v>0</v>
      </c>
      <c r="M68" s="29">
        <v>0</v>
      </c>
      <c r="N68" s="29">
        <v>0</v>
      </c>
      <c r="O68" s="67">
        <f t="shared" ref="O68:S68" si="42">J68/E68</f>
        <v>0.14285714285714285</v>
      </c>
      <c r="P68" s="65">
        <f t="shared" si="42"/>
        <v>0.2</v>
      </c>
      <c r="Q68" s="98">
        <v>0</v>
      </c>
      <c r="R68" s="98">
        <f t="shared" si="42"/>
        <v>0</v>
      </c>
      <c r="S68" s="98">
        <f t="shared" si="42"/>
        <v>0</v>
      </c>
      <c r="T68" s="79"/>
      <c r="U68" s="125">
        <v>0</v>
      </c>
      <c r="V68" s="49"/>
    </row>
    <row r="69" spans="1:22" ht="14.25" customHeight="1" thickBot="1" x14ac:dyDescent="0.35">
      <c r="A69" s="13"/>
      <c r="B69" s="16"/>
      <c r="C69" s="34"/>
      <c r="D69" s="36"/>
      <c r="E69" s="36"/>
      <c r="F69" s="36"/>
      <c r="G69" s="36"/>
      <c r="H69" s="36"/>
      <c r="I69" s="48"/>
      <c r="J69" s="36"/>
      <c r="K69" s="36"/>
      <c r="L69" s="36"/>
      <c r="M69" s="36"/>
      <c r="N69" s="36"/>
      <c r="O69" s="68"/>
      <c r="P69" s="36"/>
      <c r="Q69" s="36"/>
      <c r="R69" s="36"/>
      <c r="S69" s="50"/>
      <c r="T69" s="81"/>
      <c r="U69" s="43"/>
      <c r="V69" s="51"/>
    </row>
    <row r="70" spans="1:22" ht="14.25" customHeight="1" x14ac:dyDescent="0.3">
      <c r="A70" s="13"/>
      <c r="B70" s="127" t="s">
        <v>100</v>
      </c>
      <c r="C70" s="114"/>
      <c r="D70" s="127"/>
      <c r="E70" s="134">
        <f>SUM(E64:E68)</f>
        <v>1517</v>
      </c>
      <c r="F70" s="134">
        <f t="shared" ref="F70:N70" si="43">SUM(F64:F68)</f>
        <v>1158</v>
      </c>
      <c r="G70" s="134">
        <f t="shared" si="43"/>
        <v>202</v>
      </c>
      <c r="H70" s="134">
        <f t="shared" si="43"/>
        <v>40</v>
      </c>
      <c r="I70" s="134">
        <f t="shared" si="43"/>
        <v>117</v>
      </c>
      <c r="J70" s="134">
        <f t="shared" si="43"/>
        <v>2142</v>
      </c>
      <c r="K70" s="134">
        <f t="shared" si="43"/>
        <v>1825</v>
      </c>
      <c r="L70" s="134">
        <f>SUM(L64:L68)</f>
        <v>240</v>
      </c>
      <c r="M70" s="134">
        <f t="shared" si="43"/>
        <v>30</v>
      </c>
      <c r="N70" s="134">
        <f t="shared" si="43"/>
        <v>47</v>
      </c>
      <c r="O70" s="128">
        <f>J70/E70</f>
        <v>1.4119973632168754</v>
      </c>
      <c r="P70" s="128">
        <f t="shared" ref="P70:S70" si="44">K70/F70</f>
        <v>1.575993091537133</v>
      </c>
      <c r="Q70" s="128">
        <f t="shared" si="44"/>
        <v>1.1881188118811881</v>
      </c>
      <c r="R70" s="127">
        <f t="shared" si="44"/>
        <v>0.75</v>
      </c>
      <c r="S70" s="133">
        <f t="shared" si="44"/>
        <v>0.40170940170940173</v>
      </c>
      <c r="T70" s="116"/>
      <c r="U70" s="91"/>
      <c r="V70" s="91"/>
    </row>
    <row r="71" spans="1:22" ht="14.25" customHeight="1" x14ac:dyDescent="0.3">
      <c r="A71" s="13"/>
      <c r="B71" s="127"/>
      <c r="C71" s="114"/>
      <c r="D71" s="127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28"/>
      <c r="P71" s="128"/>
      <c r="Q71" s="128"/>
      <c r="R71" s="127"/>
      <c r="S71" s="133"/>
      <c r="T71" s="116"/>
      <c r="U71" s="91"/>
      <c r="V71" s="91"/>
    </row>
    <row r="72" spans="1:22" ht="14.25" customHeight="1" x14ac:dyDescent="0.3">
      <c r="A72" s="13"/>
      <c r="B72" s="113"/>
      <c r="C72" s="114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38" t="str">
        <f t="shared" ref="O72:S72" si="45">IF(O70&gt;=0.95,"UNWORKABLE",IF(O70&lt;=0.89,"WORKABLE","NEUTRAL"))</f>
        <v>UNWORKABLE</v>
      </c>
      <c r="P72" s="138" t="str">
        <f t="shared" si="45"/>
        <v>UNWORKABLE</v>
      </c>
      <c r="Q72" s="138" t="str">
        <f t="shared" si="45"/>
        <v>UNWORKABLE</v>
      </c>
      <c r="R72" s="138" t="str">
        <f t="shared" si="45"/>
        <v>WORKABLE</v>
      </c>
      <c r="S72" s="138" t="str">
        <f t="shared" si="45"/>
        <v>WORKABLE</v>
      </c>
      <c r="T72" s="116"/>
      <c r="U72" s="91"/>
      <c r="V72" s="91"/>
    </row>
    <row r="73" spans="1:22" ht="14.25" customHeight="1" thickBot="1" x14ac:dyDescent="0.35">
      <c r="A73" s="13"/>
      <c r="B73" s="11"/>
      <c r="C73" s="39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1"/>
      <c r="U73" s="29"/>
      <c r="V73" s="29"/>
    </row>
    <row r="74" spans="1:22" ht="14.25" customHeight="1" x14ac:dyDescent="0.3">
      <c r="A74" s="9" t="s">
        <v>7</v>
      </c>
      <c r="B74" s="10" t="s">
        <v>8</v>
      </c>
      <c r="C74" s="40" t="s">
        <v>9</v>
      </c>
      <c r="D74" s="24" t="s">
        <v>10</v>
      </c>
      <c r="E74" s="24" t="s">
        <v>11</v>
      </c>
      <c r="F74" s="24" t="s">
        <v>12</v>
      </c>
      <c r="G74" s="24" t="s">
        <v>13</v>
      </c>
      <c r="H74" s="24" t="s">
        <v>14</v>
      </c>
      <c r="I74" s="26" t="s">
        <v>15</v>
      </c>
      <c r="J74" s="23" t="s">
        <v>16</v>
      </c>
      <c r="K74" s="24" t="s">
        <v>17</v>
      </c>
      <c r="L74" s="24" t="s">
        <v>18</v>
      </c>
      <c r="M74" s="24" t="s">
        <v>19</v>
      </c>
      <c r="N74" s="60" t="s">
        <v>20</v>
      </c>
      <c r="O74" s="69" t="s">
        <v>21</v>
      </c>
      <c r="P74" s="24" t="s">
        <v>22</v>
      </c>
      <c r="Q74" s="24" t="s">
        <v>23</v>
      </c>
      <c r="R74" s="24" t="s">
        <v>24</v>
      </c>
      <c r="S74" s="26" t="s">
        <v>25</v>
      </c>
      <c r="T74" s="27" t="s">
        <v>26</v>
      </c>
      <c r="U74" s="24" t="s">
        <v>27</v>
      </c>
      <c r="V74" s="25" t="s">
        <v>28</v>
      </c>
    </row>
    <row r="75" spans="1:22" ht="14.25" customHeight="1" x14ac:dyDescent="0.25">
      <c r="A75" s="13"/>
      <c r="B75" s="15">
        <v>45429</v>
      </c>
      <c r="C75" s="31" t="s">
        <v>63</v>
      </c>
      <c r="D75" s="29" t="s">
        <v>64</v>
      </c>
      <c r="E75" s="29">
        <f>SUM(F75:I75)</f>
        <v>81</v>
      </c>
      <c r="F75" s="29">
        <v>37</v>
      </c>
      <c r="G75" s="29">
        <v>21</v>
      </c>
      <c r="H75" s="44">
        <v>8</v>
      </c>
      <c r="I75" s="46">
        <v>15</v>
      </c>
      <c r="J75" s="29">
        <f>SUM(K75:N75)</f>
        <v>107</v>
      </c>
      <c r="K75" s="29">
        <v>68</v>
      </c>
      <c r="L75" s="29">
        <v>12</v>
      </c>
      <c r="M75" s="29">
        <v>13</v>
      </c>
      <c r="N75" s="29">
        <v>14</v>
      </c>
      <c r="O75" s="67">
        <f t="shared" ref="O75:S75" si="46">J75/E75</f>
        <v>1.3209876543209877</v>
      </c>
      <c r="P75" s="65">
        <f t="shared" si="46"/>
        <v>1.8378378378378379</v>
      </c>
      <c r="Q75" s="65">
        <f t="shared" si="46"/>
        <v>0.5714285714285714</v>
      </c>
      <c r="R75" s="65">
        <f t="shared" si="46"/>
        <v>1.625</v>
      </c>
      <c r="S75" s="65">
        <f t="shared" si="46"/>
        <v>0.93333333333333335</v>
      </c>
      <c r="T75" s="80">
        <v>110401</v>
      </c>
      <c r="U75" s="124">
        <v>6.6700000000000009E-2</v>
      </c>
      <c r="V75" s="88">
        <v>42.5</v>
      </c>
    </row>
    <row r="76" spans="1:22" ht="14.25" customHeight="1" x14ac:dyDescent="0.25">
      <c r="A76" s="13"/>
      <c r="B76" s="15">
        <v>45429</v>
      </c>
      <c r="C76" s="31" t="s">
        <v>63</v>
      </c>
      <c r="D76" s="29" t="s">
        <v>65</v>
      </c>
      <c r="E76" s="29">
        <f t="shared" ref="E76:E79" si="47">SUM(F76:I76)</f>
        <v>55</v>
      </c>
      <c r="F76" s="29">
        <v>18</v>
      </c>
      <c r="G76" s="29">
        <v>20</v>
      </c>
      <c r="H76" s="29">
        <v>6</v>
      </c>
      <c r="I76" s="46">
        <v>11</v>
      </c>
      <c r="J76" s="29">
        <f t="shared" ref="J76:J79" si="48">SUM(K76:N76)</f>
        <v>67</v>
      </c>
      <c r="K76" s="29">
        <v>54</v>
      </c>
      <c r="L76" s="29">
        <v>6</v>
      </c>
      <c r="M76" s="29">
        <v>2</v>
      </c>
      <c r="N76" s="29">
        <v>5</v>
      </c>
      <c r="O76" s="67">
        <f t="shared" ref="O76:S76" si="49">J76/E76</f>
        <v>1.2181818181818183</v>
      </c>
      <c r="P76" s="65">
        <f t="shared" si="49"/>
        <v>3</v>
      </c>
      <c r="Q76" s="65">
        <f t="shared" si="49"/>
        <v>0.3</v>
      </c>
      <c r="R76" s="65">
        <f t="shared" si="49"/>
        <v>0.33333333333333331</v>
      </c>
      <c r="S76" s="65">
        <f t="shared" si="49"/>
        <v>0.45454545454545453</v>
      </c>
      <c r="T76" s="77">
        <v>9049</v>
      </c>
      <c r="U76" s="122">
        <v>2.8899999999999999E-2</v>
      </c>
      <c r="V76" s="49">
        <v>43.7</v>
      </c>
    </row>
    <row r="77" spans="1:22" ht="14.25" customHeight="1" x14ac:dyDescent="0.25">
      <c r="A77" s="13"/>
      <c r="B77" s="15">
        <v>45429</v>
      </c>
      <c r="C77" s="31" t="s">
        <v>63</v>
      </c>
      <c r="D77" s="29" t="s">
        <v>66</v>
      </c>
      <c r="E77" s="29">
        <f t="shared" si="47"/>
        <v>46</v>
      </c>
      <c r="F77" s="29">
        <v>21</v>
      </c>
      <c r="G77" s="29">
        <v>9</v>
      </c>
      <c r="H77" s="29">
        <v>1</v>
      </c>
      <c r="I77" s="46">
        <v>15</v>
      </c>
      <c r="J77" s="29">
        <f t="shared" si="48"/>
        <v>72</v>
      </c>
      <c r="K77" s="29">
        <v>58</v>
      </c>
      <c r="L77" s="29">
        <v>5</v>
      </c>
      <c r="M77" s="29">
        <v>3</v>
      </c>
      <c r="N77" s="29">
        <v>6</v>
      </c>
      <c r="O77" s="67">
        <f t="shared" ref="O77:S77" si="50">J77/E77</f>
        <v>1.5652173913043479</v>
      </c>
      <c r="P77" s="65">
        <f t="shared" si="50"/>
        <v>2.7619047619047619</v>
      </c>
      <c r="Q77" s="65">
        <f t="shared" si="50"/>
        <v>0.55555555555555558</v>
      </c>
      <c r="R77" s="65">
        <f t="shared" si="50"/>
        <v>3</v>
      </c>
      <c r="S77" s="65">
        <f t="shared" si="50"/>
        <v>0.4</v>
      </c>
      <c r="T77" s="77">
        <v>26510</v>
      </c>
      <c r="U77" s="122">
        <v>3.6999999999999998E-2</v>
      </c>
      <c r="V77" s="49">
        <v>43.7</v>
      </c>
    </row>
    <row r="78" spans="1:22" ht="14.25" customHeight="1" x14ac:dyDescent="0.25">
      <c r="A78" s="13"/>
      <c r="B78" s="15">
        <v>45429</v>
      </c>
      <c r="C78" s="31" t="s">
        <v>63</v>
      </c>
      <c r="D78" s="31" t="s">
        <v>67</v>
      </c>
      <c r="E78" s="29">
        <f t="shared" si="47"/>
        <v>273</v>
      </c>
      <c r="F78" s="29">
        <v>170</v>
      </c>
      <c r="G78" s="29">
        <v>61</v>
      </c>
      <c r="H78" s="29">
        <v>7</v>
      </c>
      <c r="I78" s="46">
        <v>35</v>
      </c>
      <c r="J78" s="29">
        <f t="shared" si="48"/>
        <v>225</v>
      </c>
      <c r="K78" s="29">
        <v>162</v>
      </c>
      <c r="L78" s="29">
        <v>44</v>
      </c>
      <c r="M78" s="29">
        <v>2</v>
      </c>
      <c r="N78" s="29">
        <v>17</v>
      </c>
      <c r="O78" s="67">
        <f t="shared" ref="O78:S78" si="51">J78/E78</f>
        <v>0.82417582417582413</v>
      </c>
      <c r="P78" s="65">
        <f t="shared" si="51"/>
        <v>0.95294117647058818</v>
      </c>
      <c r="Q78" s="65">
        <f t="shared" si="51"/>
        <v>0.72131147540983609</v>
      </c>
      <c r="R78" s="65">
        <f t="shared" si="51"/>
        <v>0.2857142857142857</v>
      </c>
      <c r="S78" s="65">
        <f t="shared" si="51"/>
        <v>0.48571428571428571</v>
      </c>
      <c r="T78" s="77">
        <v>16173</v>
      </c>
      <c r="U78" s="122">
        <v>5.11E-2</v>
      </c>
      <c r="V78" s="49">
        <v>43.7</v>
      </c>
    </row>
    <row r="79" spans="1:22" ht="14.25" customHeight="1" x14ac:dyDescent="0.25">
      <c r="A79" s="13"/>
      <c r="B79" s="15">
        <v>45429</v>
      </c>
      <c r="C79" s="31" t="s">
        <v>63</v>
      </c>
      <c r="D79" s="29" t="s">
        <v>68</v>
      </c>
      <c r="E79" s="29">
        <f t="shared" si="47"/>
        <v>75</v>
      </c>
      <c r="F79" s="29">
        <v>67</v>
      </c>
      <c r="G79" s="29">
        <v>4</v>
      </c>
      <c r="H79" s="29">
        <v>3</v>
      </c>
      <c r="I79" s="46">
        <v>1</v>
      </c>
      <c r="J79" s="29">
        <f t="shared" si="48"/>
        <v>38</v>
      </c>
      <c r="K79" s="29">
        <v>33</v>
      </c>
      <c r="L79" s="29">
        <v>2</v>
      </c>
      <c r="M79" s="29">
        <v>1</v>
      </c>
      <c r="N79" s="29">
        <v>2</v>
      </c>
      <c r="O79" s="67">
        <f t="shared" ref="O79:S79" si="52">J79/E79</f>
        <v>0.50666666666666671</v>
      </c>
      <c r="P79" s="65">
        <f t="shared" si="52"/>
        <v>0.4925373134328358</v>
      </c>
      <c r="Q79" s="65">
        <f t="shared" si="52"/>
        <v>0.5</v>
      </c>
      <c r="R79" s="65">
        <f t="shared" si="52"/>
        <v>0.33333333333333331</v>
      </c>
      <c r="S79" s="65">
        <f t="shared" si="52"/>
        <v>2</v>
      </c>
      <c r="T79" s="77">
        <v>15704</v>
      </c>
      <c r="U79" s="122">
        <v>5.7399999999999993E-2</v>
      </c>
      <c r="V79" s="49">
        <v>43.7</v>
      </c>
    </row>
    <row r="80" spans="1:22" ht="14.25" customHeight="1" thickBot="1" x14ac:dyDescent="0.35">
      <c r="A80" s="13"/>
      <c r="B80" s="16"/>
      <c r="C80" s="34"/>
      <c r="D80" s="36"/>
      <c r="E80" s="36"/>
      <c r="F80" s="36"/>
      <c r="G80" s="36"/>
      <c r="H80" s="36"/>
      <c r="I80" s="48"/>
      <c r="J80" s="36"/>
      <c r="K80" s="36"/>
      <c r="L80" s="36"/>
      <c r="M80" s="36"/>
      <c r="N80" s="36"/>
      <c r="O80" s="68"/>
      <c r="P80" s="36"/>
      <c r="Q80" s="36"/>
      <c r="R80" s="36"/>
      <c r="S80" s="50"/>
      <c r="T80" s="81"/>
      <c r="U80" s="43"/>
      <c r="V80" s="51"/>
    </row>
    <row r="81" spans="1:22" ht="14.25" customHeight="1" x14ac:dyDescent="0.3">
      <c r="A81" s="13"/>
      <c r="B81" s="127" t="s">
        <v>100</v>
      </c>
      <c r="C81" s="114"/>
      <c r="D81" s="127"/>
      <c r="E81" s="134">
        <f>SUM(E75:E79)</f>
        <v>530</v>
      </c>
      <c r="F81" s="134">
        <f t="shared" ref="F81:N81" si="53">SUM(F75:F79)</f>
        <v>313</v>
      </c>
      <c r="G81" s="134">
        <f t="shared" si="53"/>
        <v>115</v>
      </c>
      <c r="H81" s="134">
        <f t="shared" si="53"/>
        <v>25</v>
      </c>
      <c r="I81" s="134">
        <f t="shared" si="53"/>
        <v>77</v>
      </c>
      <c r="J81" s="134">
        <f t="shared" si="53"/>
        <v>509</v>
      </c>
      <c r="K81" s="134">
        <f t="shared" si="53"/>
        <v>375</v>
      </c>
      <c r="L81" s="134">
        <f t="shared" si="53"/>
        <v>69</v>
      </c>
      <c r="M81" s="134">
        <f t="shared" si="53"/>
        <v>21</v>
      </c>
      <c r="N81" s="134">
        <f t="shared" si="53"/>
        <v>44</v>
      </c>
      <c r="O81" s="128">
        <f>J81/E81</f>
        <v>0.96037735849056605</v>
      </c>
      <c r="P81" s="128">
        <f t="shared" ref="P81:S81" si="54">K81/F81</f>
        <v>1.1980830670926517</v>
      </c>
      <c r="Q81" s="127">
        <f t="shared" si="54"/>
        <v>0.6</v>
      </c>
      <c r="R81" s="127">
        <f t="shared" si="54"/>
        <v>0.84</v>
      </c>
      <c r="S81" s="128">
        <f t="shared" si="54"/>
        <v>0.5714285714285714</v>
      </c>
      <c r="T81" s="116"/>
      <c r="U81" s="91"/>
      <c r="V81" s="91"/>
    </row>
    <row r="82" spans="1:22" ht="14.25" customHeight="1" x14ac:dyDescent="0.3">
      <c r="A82" s="13"/>
      <c r="B82" s="113"/>
      <c r="C82" s="114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16"/>
      <c r="U82" s="91"/>
      <c r="V82" s="91"/>
    </row>
    <row r="83" spans="1:22" ht="14.25" customHeight="1" x14ac:dyDescent="0.3">
      <c r="A83" s="13"/>
      <c r="B83" s="113"/>
      <c r="C83" s="114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38" t="str">
        <f t="shared" ref="O83:S83" si="55">IF(O81&gt;=0.95,"UNWORKABLE",IF(O81&lt;=0.89,"WORKABLE","NEUTRAL"))</f>
        <v>UNWORKABLE</v>
      </c>
      <c r="P83" s="138" t="str">
        <f t="shared" si="55"/>
        <v>UNWORKABLE</v>
      </c>
      <c r="Q83" s="138" t="str">
        <f t="shared" si="55"/>
        <v>WORKABLE</v>
      </c>
      <c r="R83" s="138" t="str">
        <f t="shared" si="55"/>
        <v>WORKABLE</v>
      </c>
      <c r="S83" s="138" t="str">
        <f t="shared" si="55"/>
        <v>WORKABLE</v>
      </c>
      <c r="T83" s="116"/>
      <c r="U83" s="91"/>
      <c r="V83" s="91"/>
    </row>
    <row r="84" spans="1:22" ht="14.25" customHeight="1" thickBot="1" x14ac:dyDescent="0.35">
      <c r="A84" s="13"/>
      <c r="B84" s="11"/>
      <c r="C84" s="39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1"/>
      <c r="U84" s="29"/>
      <c r="V84" s="29"/>
    </row>
    <row r="85" spans="1:22" ht="14.25" customHeight="1" x14ac:dyDescent="0.3">
      <c r="A85" s="9" t="s">
        <v>7</v>
      </c>
      <c r="B85" s="10" t="s">
        <v>8</v>
      </c>
      <c r="C85" s="40" t="s">
        <v>9</v>
      </c>
      <c r="D85" s="24" t="s">
        <v>10</v>
      </c>
      <c r="E85" s="24" t="s">
        <v>11</v>
      </c>
      <c r="F85" s="24" t="s">
        <v>12</v>
      </c>
      <c r="G85" s="24" t="s">
        <v>13</v>
      </c>
      <c r="H85" s="24" t="s">
        <v>14</v>
      </c>
      <c r="I85" s="26" t="s">
        <v>15</v>
      </c>
      <c r="J85" s="23" t="s">
        <v>16</v>
      </c>
      <c r="K85" s="24" t="s">
        <v>17</v>
      </c>
      <c r="L85" s="24" t="s">
        <v>18</v>
      </c>
      <c r="M85" s="24" t="s">
        <v>19</v>
      </c>
      <c r="N85" s="25" t="s">
        <v>20</v>
      </c>
      <c r="O85" s="26" t="s">
        <v>21</v>
      </c>
      <c r="P85" s="24" t="s">
        <v>22</v>
      </c>
      <c r="Q85" s="24" t="s">
        <v>23</v>
      </c>
      <c r="R85" s="24" t="s">
        <v>24</v>
      </c>
      <c r="S85" s="26" t="s">
        <v>25</v>
      </c>
      <c r="T85" s="27" t="s">
        <v>26</v>
      </c>
      <c r="U85" s="24" t="s">
        <v>27</v>
      </c>
      <c r="V85" s="25" t="s">
        <v>28</v>
      </c>
    </row>
    <row r="86" spans="1:22" ht="14.25" customHeight="1" x14ac:dyDescent="0.25">
      <c r="A86" s="13"/>
      <c r="B86" s="15">
        <v>45429</v>
      </c>
      <c r="C86" s="31" t="s">
        <v>69</v>
      </c>
      <c r="D86" s="29" t="s">
        <v>70</v>
      </c>
      <c r="E86" s="29">
        <f>SUM(F86:I86)</f>
        <v>46</v>
      </c>
      <c r="F86" s="29">
        <v>24</v>
      </c>
      <c r="G86" s="29">
        <v>5</v>
      </c>
      <c r="H86" s="29">
        <v>3</v>
      </c>
      <c r="I86" s="49">
        <v>14</v>
      </c>
      <c r="J86" s="29">
        <f>SUM(K86:N86)</f>
        <v>47</v>
      </c>
      <c r="K86" s="29">
        <v>29</v>
      </c>
      <c r="L86" s="29">
        <v>10</v>
      </c>
      <c r="M86" s="29">
        <v>3</v>
      </c>
      <c r="N86" s="29">
        <v>5</v>
      </c>
      <c r="O86" s="67">
        <f t="shared" ref="O86:S86" si="56">J86/E86</f>
        <v>1.0217391304347827</v>
      </c>
      <c r="P86" s="65">
        <f t="shared" si="56"/>
        <v>1.2083333333333333</v>
      </c>
      <c r="Q86" s="65">
        <f t="shared" si="56"/>
        <v>2</v>
      </c>
      <c r="R86" s="65">
        <f t="shared" si="56"/>
        <v>1</v>
      </c>
      <c r="S86" s="65">
        <f t="shared" si="56"/>
        <v>0.35714285714285715</v>
      </c>
      <c r="T86" s="80">
        <v>42707</v>
      </c>
      <c r="U86" s="150">
        <v>5.3000000000000005E-2</v>
      </c>
      <c r="V86" s="88">
        <v>44.6</v>
      </c>
    </row>
    <row r="87" spans="1:22" ht="14.25" customHeight="1" x14ac:dyDescent="0.25">
      <c r="A87" s="13"/>
      <c r="B87" s="15">
        <v>45429</v>
      </c>
      <c r="C87" s="31" t="s">
        <v>69</v>
      </c>
      <c r="D87" s="38" t="s">
        <v>71</v>
      </c>
      <c r="E87" s="29">
        <f t="shared" ref="E87:E90" si="57">SUM(F87:I87)</f>
        <v>81</v>
      </c>
      <c r="F87" s="29">
        <v>53</v>
      </c>
      <c r="G87" s="29">
        <v>15</v>
      </c>
      <c r="H87" s="29">
        <v>5</v>
      </c>
      <c r="I87" s="49">
        <v>8</v>
      </c>
      <c r="J87" s="29">
        <f t="shared" ref="J87:J90" si="58">SUM(K87:N87)</f>
        <v>75</v>
      </c>
      <c r="K87" s="29">
        <v>37</v>
      </c>
      <c r="L87" s="29">
        <v>23</v>
      </c>
      <c r="M87" s="29">
        <v>7</v>
      </c>
      <c r="N87" s="29">
        <v>8</v>
      </c>
      <c r="O87" s="67">
        <f t="shared" ref="O87:S87" si="59">J87/E87</f>
        <v>0.92592592592592593</v>
      </c>
      <c r="P87" s="65">
        <f t="shared" si="59"/>
        <v>0.69811320754716977</v>
      </c>
      <c r="Q87" s="65">
        <f t="shared" si="59"/>
        <v>1.5333333333333334</v>
      </c>
      <c r="R87" s="65">
        <f t="shared" si="59"/>
        <v>1.4</v>
      </c>
      <c r="S87" s="65">
        <f t="shared" si="59"/>
        <v>1</v>
      </c>
      <c r="T87" s="77">
        <v>29674</v>
      </c>
      <c r="U87" s="149">
        <v>4.8599999999999997E-2</v>
      </c>
      <c r="V87" s="49">
        <v>42.9</v>
      </c>
    </row>
    <row r="88" spans="1:22" ht="14.25" customHeight="1" x14ac:dyDescent="0.25">
      <c r="A88" s="13"/>
      <c r="B88" s="15">
        <v>45429</v>
      </c>
      <c r="C88" s="31" t="s">
        <v>69</v>
      </c>
      <c r="D88" s="29" t="s">
        <v>72</v>
      </c>
      <c r="E88" s="29">
        <f t="shared" si="57"/>
        <v>143</v>
      </c>
      <c r="F88" s="29">
        <v>62</v>
      </c>
      <c r="G88" s="29">
        <v>39</v>
      </c>
      <c r="H88" s="29">
        <v>17</v>
      </c>
      <c r="I88" s="49">
        <v>25</v>
      </c>
      <c r="J88" s="29">
        <f t="shared" si="58"/>
        <v>145</v>
      </c>
      <c r="K88" s="29">
        <v>102</v>
      </c>
      <c r="L88" s="29">
        <v>26</v>
      </c>
      <c r="M88" s="29">
        <v>7</v>
      </c>
      <c r="N88" s="29">
        <v>10</v>
      </c>
      <c r="O88" s="67">
        <f t="shared" ref="O88:S88" si="60">J88/E88</f>
        <v>1.013986013986014</v>
      </c>
      <c r="P88" s="65">
        <f t="shared" si="60"/>
        <v>1.6451612903225807</v>
      </c>
      <c r="Q88" s="65">
        <f t="shared" si="60"/>
        <v>0.66666666666666663</v>
      </c>
      <c r="R88" s="65">
        <f t="shared" si="60"/>
        <v>0.41176470588235292</v>
      </c>
      <c r="S88" s="65">
        <f t="shared" si="60"/>
        <v>0.4</v>
      </c>
      <c r="T88" s="77">
        <v>36528</v>
      </c>
      <c r="U88" s="149">
        <v>6.1899999999999997E-2</v>
      </c>
      <c r="V88" s="49">
        <v>47.5</v>
      </c>
    </row>
    <row r="89" spans="1:22" ht="14.25" customHeight="1" x14ac:dyDescent="0.25">
      <c r="A89" s="13"/>
      <c r="B89" s="15">
        <v>45429</v>
      </c>
      <c r="C89" s="31" t="s">
        <v>69</v>
      </c>
      <c r="D89" s="31" t="s">
        <v>73</v>
      </c>
      <c r="E89" s="29">
        <f t="shared" si="57"/>
        <v>81</v>
      </c>
      <c r="F89" s="29">
        <v>62</v>
      </c>
      <c r="G89" s="29">
        <v>5</v>
      </c>
      <c r="H89" s="29">
        <v>9</v>
      </c>
      <c r="I89" s="49">
        <v>5</v>
      </c>
      <c r="J89" s="29">
        <f t="shared" si="58"/>
        <v>43</v>
      </c>
      <c r="K89" s="29">
        <v>39</v>
      </c>
      <c r="L89" s="29">
        <v>3</v>
      </c>
      <c r="M89" s="29">
        <v>0</v>
      </c>
      <c r="N89" s="29">
        <v>1</v>
      </c>
      <c r="O89" s="67">
        <f t="shared" ref="O89:S89" si="61">J89/E89</f>
        <v>0.53086419753086422</v>
      </c>
      <c r="P89" s="65">
        <f t="shared" si="61"/>
        <v>0.62903225806451613</v>
      </c>
      <c r="Q89" s="65">
        <f t="shared" si="61"/>
        <v>0.6</v>
      </c>
      <c r="R89" s="65">
        <f t="shared" si="61"/>
        <v>0</v>
      </c>
      <c r="S89" s="65">
        <f t="shared" si="61"/>
        <v>0.2</v>
      </c>
      <c r="T89" s="77">
        <v>71041</v>
      </c>
      <c r="U89" s="149">
        <v>8.5800000000000001E-2</v>
      </c>
      <c r="V89" s="49">
        <v>43.3</v>
      </c>
    </row>
    <row r="90" spans="1:22" ht="14.25" customHeight="1" x14ac:dyDescent="0.25">
      <c r="A90" s="13"/>
      <c r="B90" s="15">
        <v>45429</v>
      </c>
      <c r="C90" s="31" t="s">
        <v>69</v>
      </c>
      <c r="D90" s="29" t="s">
        <v>74</v>
      </c>
      <c r="E90" s="29">
        <f t="shared" si="57"/>
        <v>136</v>
      </c>
      <c r="F90" s="29">
        <v>93</v>
      </c>
      <c r="G90" s="29">
        <v>26</v>
      </c>
      <c r="H90" s="29">
        <v>7</v>
      </c>
      <c r="I90" s="49">
        <v>10</v>
      </c>
      <c r="J90" s="29">
        <f t="shared" si="58"/>
        <v>68</v>
      </c>
      <c r="K90" s="29">
        <v>57</v>
      </c>
      <c r="L90" s="29">
        <v>8</v>
      </c>
      <c r="M90" s="29">
        <v>1</v>
      </c>
      <c r="N90" s="29">
        <v>2</v>
      </c>
      <c r="O90" s="67">
        <f t="shared" ref="O90:S90" si="62">J90/E90</f>
        <v>0.5</v>
      </c>
      <c r="P90" s="65">
        <f t="shared" si="62"/>
        <v>0.61290322580645162</v>
      </c>
      <c r="Q90" s="65">
        <f t="shared" si="62"/>
        <v>0.30769230769230771</v>
      </c>
      <c r="R90" s="65">
        <f t="shared" si="62"/>
        <v>0.14285714285714285</v>
      </c>
      <c r="S90" s="65">
        <f t="shared" si="62"/>
        <v>0.2</v>
      </c>
      <c r="T90" s="77">
        <v>93464</v>
      </c>
      <c r="U90" s="149">
        <v>5.2700000000000004E-2</v>
      </c>
      <c r="V90" s="49">
        <v>42</v>
      </c>
    </row>
    <row r="91" spans="1:22" ht="14.25" customHeight="1" x14ac:dyDescent="0.3">
      <c r="A91" s="13"/>
      <c r="B91" s="15"/>
      <c r="C91" s="31"/>
      <c r="D91" s="35"/>
      <c r="E91" s="29"/>
      <c r="F91" s="29"/>
      <c r="G91" s="29"/>
      <c r="H91" s="29"/>
      <c r="I91" s="49"/>
      <c r="J91" s="29"/>
      <c r="K91" s="29"/>
      <c r="L91" s="29"/>
      <c r="M91" s="29"/>
      <c r="N91" s="29"/>
      <c r="O91" s="70"/>
      <c r="P91" s="29"/>
      <c r="Q91" s="29"/>
      <c r="R91" s="29"/>
      <c r="S91" s="29"/>
      <c r="T91" s="79"/>
      <c r="U91" s="29"/>
      <c r="V91" s="49"/>
    </row>
    <row r="92" spans="1:22" ht="14.25" customHeight="1" thickBot="1" x14ac:dyDescent="0.35">
      <c r="A92" s="13"/>
      <c r="B92" s="16"/>
      <c r="C92" s="34"/>
      <c r="D92" s="36"/>
      <c r="E92" s="36"/>
      <c r="F92" s="36"/>
      <c r="G92" s="36"/>
      <c r="H92" s="36"/>
      <c r="I92" s="50"/>
      <c r="J92" s="36"/>
      <c r="K92" s="36"/>
      <c r="L92" s="36"/>
      <c r="M92" s="36"/>
      <c r="N92" s="36"/>
      <c r="O92" s="68"/>
      <c r="P92" s="36"/>
      <c r="Q92" s="36"/>
      <c r="R92" s="36"/>
      <c r="S92" s="50"/>
      <c r="T92" s="81"/>
      <c r="U92" s="43"/>
      <c r="V92" s="51"/>
    </row>
    <row r="93" spans="1:22" ht="14.25" customHeight="1" x14ac:dyDescent="0.3">
      <c r="A93" s="13"/>
      <c r="B93" s="127" t="s">
        <v>100</v>
      </c>
      <c r="C93" s="114"/>
      <c r="D93" s="127"/>
      <c r="E93" s="134">
        <f>SUM(E86:E90)</f>
        <v>487</v>
      </c>
      <c r="F93" s="134">
        <f t="shared" ref="F93:N93" si="63">SUM(F86:F90)</f>
        <v>294</v>
      </c>
      <c r="G93" s="134">
        <f t="shared" si="63"/>
        <v>90</v>
      </c>
      <c r="H93" s="134">
        <f t="shared" si="63"/>
        <v>41</v>
      </c>
      <c r="I93" s="134">
        <f t="shared" si="63"/>
        <v>62</v>
      </c>
      <c r="J93" s="134">
        <f t="shared" si="63"/>
        <v>378</v>
      </c>
      <c r="K93" s="134">
        <f t="shared" si="63"/>
        <v>264</v>
      </c>
      <c r="L93" s="134">
        <f t="shared" si="63"/>
        <v>70</v>
      </c>
      <c r="M93" s="134">
        <f t="shared" si="63"/>
        <v>18</v>
      </c>
      <c r="N93" s="134">
        <f t="shared" si="63"/>
        <v>26</v>
      </c>
      <c r="O93" s="128">
        <f>J93/E93</f>
        <v>0.77618069815195068</v>
      </c>
      <c r="P93" s="133">
        <f t="shared" ref="P93:S93" si="64">K93/F93</f>
        <v>0.89795918367346939</v>
      </c>
      <c r="Q93" s="128">
        <f t="shared" si="64"/>
        <v>0.77777777777777779</v>
      </c>
      <c r="R93" s="128">
        <f t="shared" si="64"/>
        <v>0.43902439024390244</v>
      </c>
      <c r="S93" s="128">
        <f t="shared" si="64"/>
        <v>0.41935483870967744</v>
      </c>
      <c r="T93" s="116"/>
      <c r="U93" s="91"/>
      <c r="V93" s="91"/>
    </row>
    <row r="94" spans="1:22" ht="14.25" customHeight="1" x14ac:dyDescent="0.3">
      <c r="A94" s="13"/>
      <c r="B94" s="127"/>
      <c r="C94" s="114"/>
      <c r="D94" s="127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28"/>
      <c r="P94" s="132"/>
      <c r="Q94" s="128"/>
      <c r="R94" s="128"/>
      <c r="S94" s="128"/>
      <c r="T94" s="116"/>
      <c r="U94" s="91"/>
      <c r="V94" s="91"/>
    </row>
    <row r="95" spans="1:22" ht="14.25" customHeight="1" x14ac:dyDescent="0.3">
      <c r="A95" s="13"/>
      <c r="B95" s="113"/>
      <c r="C95" s="114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38" t="str">
        <f t="shared" ref="O95:S95" si="65">IF(O93&gt;=0.95,"UNWORKABLE",IF(O93&lt;=0.89,"WORKABLE","NEUTRAL"))</f>
        <v>WORKABLE</v>
      </c>
      <c r="P95" s="138" t="str">
        <f>IF(P93&gt;=0.95,"UNWORKABLE",IF(P93&lt;=0.89,"WORKABLE","NEUTRAL"))</f>
        <v>NEUTRAL</v>
      </c>
      <c r="Q95" s="138" t="str">
        <f t="shared" si="65"/>
        <v>WORKABLE</v>
      </c>
      <c r="R95" s="138" t="str">
        <f t="shared" si="65"/>
        <v>WORKABLE</v>
      </c>
      <c r="S95" s="138" t="str">
        <f t="shared" si="65"/>
        <v>WORKABLE</v>
      </c>
      <c r="T95" s="116"/>
      <c r="U95" s="91"/>
      <c r="V95" s="91"/>
    </row>
    <row r="96" spans="1:22" ht="14.25" customHeight="1" thickBot="1" x14ac:dyDescent="0.35">
      <c r="A96" s="13"/>
      <c r="B96" s="11"/>
      <c r="C96" s="39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1"/>
      <c r="U96" s="29"/>
      <c r="V96" s="29"/>
    </row>
    <row r="97" spans="1:22" ht="14.25" customHeight="1" x14ac:dyDescent="0.3">
      <c r="A97" s="9" t="s">
        <v>7</v>
      </c>
      <c r="B97" s="10" t="s">
        <v>8</v>
      </c>
      <c r="C97" s="40" t="s">
        <v>9</v>
      </c>
      <c r="D97" s="24" t="s">
        <v>10</v>
      </c>
      <c r="E97" s="24" t="s">
        <v>11</v>
      </c>
      <c r="F97" s="24" t="s">
        <v>12</v>
      </c>
      <c r="G97" s="24" t="s">
        <v>13</v>
      </c>
      <c r="H97" s="24" t="s">
        <v>14</v>
      </c>
      <c r="I97" s="26" t="s">
        <v>15</v>
      </c>
      <c r="J97" s="23" t="s">
        <v>16</v>
      </c>
      <c r="K97" s="24" t="s">
        <v>17</v>
      </c>
      <c r="L97" s="24" t="s">
        <v>18</v>
      </c>
      <c r="M97" s="24" t="s">
        <v>19</v>
      </c>
      <c r="N97" s="25" t="s">
        <v>20</v>
      </c>
      <c r="O97" s="26" t="s">
        <v>21</v>
      </c>
      <c r="P97" s="24" t="s">
        <v>22</v>
      </c>
      <c r="Q97" s="24" t="s">
        <v>23</v>
      </c>
      <c r="R97" s="24" t="s">
        <v>24</v>
      </c>
      <c r="S97" s="26" t="s">
        <v>25</v>
      </c>
      <c r="T97" s="27" t="s">
        <v>26</v>
      </c>
      <c r="U97" s="24" t="s">
        <v>27</v>
      </c>
      <c r="V97" s="25" t="s">
        <v>28</v>
      </c>
    </row>
    <row r="98" spans="1:22" ht="14.25" customHeight="1" x14ac:dyDescent="0.25">
      <c r="A98" s="13"/>
      <c r="B98" s="15">
        <v>45432</v>
      </c>
      <c r="C98" s="31" t="s">
        <v>75</v>
      </c>
      <c r="D98" s="29" t="s">
        <v>76</v>
      </c>
      <c r="E98" s="29">
        <f>SUM(F98:I98)</f>
        <v>569</v>
      </c>
      <c r="F98" s="29">
        <v>228</v>
      </c>
      <c r="G98" s="29">
        <v>269</v>
      </c>
      <c r="H98" s="29">
        <v>32</v>
      </c>
      <c r="I98" s="49">
        <v>40</v>
      </c>
      <c r="J98" s="29">
        <f>SUM(K98:N98)</f>
        <v>507</v>
      </c>
      <c r="K98" s="29">
        <v>234</v>
      </c>
      <c r="L98" s="29">
        <v>217</v>
      </c>
      <c r="M98" s="29">
        <v>22</v>
      </c>
      <c r="N98" s="29">
        <v>34</v>
      </c>
      <c r="O98" s="67">
        <f t="shared" ref="O98:S98" si="66">J98/E98</f>
        <v>0.89103690685413006</v>
      </c>
      <c r="P98" s="65">
        <f t="shared" si="66"/>
        <v>1.0263157894736843</v>
      </c>
      <c r="Q98" s="65">
        <f t="shared" si="66"/>
        <v>0.80669144981412644</v>
      </c>
      <c r="R98" s="65">
        <f t="shared" si="66"/>
        <v>0.6875</v>
      </c>
      <c r="S98" s="65">
        <f t="shared" si="66"/>
        <v>0.85</v>
      </c>
      <c r="T98" s="82">
        <v>19187</v>
      </c>
      <c r="U98" s="149">
        <v>3.44E-2</v>
      </c>
      <c r="V98" s="49">
        <v>39.299999999999997</v>
      </c>
    </row>
    <row r="99" spans="1:22" ht="14.25" customHeight="1" x14ac:dyDescent="0.25">
      <c r="A99" s="13"/>
      <c r="B99" s="15">
        <v>45432</v>
      </c>
      <c r="C99" s="31" t="s">
        <v>75</v>
      </c>
      <c r="D99" s="29" t="s">
        <v>77</v>
      </c>
      <c r="E99" s="29">
        <f t="shared" ref="E99:E102" si="67">SUM(F99:I99)</f>
        <v>90</v>
      </c>
      <c r="F99" s="29">
        <v>87</v>
      </c>
      <c r="G99" s="29">
        <v>3</v>
      </c>
      <c r="H99" s="29">
        <v>0</v>
      </c>
      <c r="I99" s="49">
        <v>0</v>
      </c>
      <c r="J99" s="29">
        <f t="shared" ref="J99:J102" si="68">SUM(K99:N99)</f>
        <v>28</v>
      </c>
      <c r="K99" s="29">
        <v>28</v>
      </c>
      <c r="L99" s="29">
        <v>0</v>
      </c>
      <c r="M99" s="29">
        <v>0</v>
      </c>
      <c r="N99" s="29">
        <v>0</v>
      </c>
      <c r="O99" s="67">
        <f t="shared" ref="O99:Q99" si="69">J99/E99</f>
        <v>0.31111111111111112</v>
      </c>
      <c r="P99" s="65">
        <f t="shared" si="69"/>
        <v>0.32183908045977011</v>
      </c>
      <c r="Q99" s="98">
        <f t="shared" si="69"/>
        <v>0</v>
      </c>
      <c r="R99" s="98">
        <v>0</v>
      </c>
      <c r="S99" s="98">
        <v>0</v>
      </c>
      <c r="T99" s="82">
        <v>15929</v>
      </c>
      <c r="U99" s="149">
        <v>1.6E-2</v>
      </c>
      <c r="V99" s="49">
        <v>39.299999999999997</v>
      </c>
    </row>
    <row r="100" spans="1:22" ht="14.25" customHeight="1" x14ac:dyDescent="0.25">
      <c r="A100" s="13"/>
      <c r="B100" s="15">
        <v>45432</v>
      </c>
      <c r="C100" s="31" t="s">
        <v>75</v>
      </c>
      <c r="D100" s="29" t="s">
        <v>78</v>
      </c>
      <c r="E100" s="29">
        <f t="shared" si="67"/>
        <v>0</v>
      </c>
      <c r="F100" s="29">
        <v>0</v>
      </c>
      <c r="G100" s="29">
        <v>0</v>
      </c>
      <c r="H100" s="29">
        <v>0</v>
      </c>
      <c r="I100" s="49">
        <v>0</v>
      </c>
      <c r="J100" s="29">
        <f t="shared" si="68"/>
        <v>3</v>
      </c>
      <c r="K100" s="29">
        <v>2</v>
      </c>
      <c r="L100" s="29">
        <v>0</v>
      </c>
      <c r="M100" s="29">
        <v>0</v>
      </c>
      <c r="N100" s="29">
        <v>1</v>
      </c>
      <c r="O100" s="131">
        <v>0</v>
      </c>
      <c r="P100" s="98">
        <v>0</v>
      </c>
      <c r="Q100" s="98">
        <v>0</v>
      </c>
      <c r="R100" s="98">
        <v>0</v>
      </c>
      <c r="S100" s="98">
        <v>0</v>
      </c>
      <c r="T100" s="82">
        <v>5018</v>
      </c>
      <c r="U100" s="149">
        <v>3.5400000000000001E-2</v>
      </c>
      <c r="V100" s="49">
        <v>30.54</v>
      </c>
    </row>
    <row r="101" spans="1:22" ht="14.25" customHeight="1" x14ac:dyDescent="0.25">
      <c r="A101" s="13"/>
      <c r="B101" s="15">
        <v>45432</v>
      </c>
      <c r="C101" s="31" t="s">
        <v>75</v>
      </c>
      <c r="D101" s="31" t="s">
        <v>79</v>
      </c>
      <c r="E101" s="29">
        <f t="shared" si="67"/>
        <v>8</v>
      </c>
      <c r="F101" s="29">
        <v>5</v>
      </c>
      <c r="G101" s="29">
        <v>1</v>
      </c>
      <c r="H101" s="29">
        <v>0</v>
      </c>
      <c r="I101" s="49">
        <v>2</v>
      </c>
      <c r="J101" s="29">
        <f t="shared" si="68"/>
        <v>14</v>
      </c>
      <c r="K101" s="29">
        <v>9</v>
      </c>
      <c r="L101" s="29">
        <v>1</v>
      </c>
      <c r="M101" s="29">
        <v>1</v>
      </c>
      <c r="N101" s="29">
        <v>3</v>
      </c>
      <c r="O101" s="67">
        <f t="shared" ref="O101:S101" si="70">J101/E101</f>
        <v>1.75</v>
      </c>
      <c r="P101" s="65">
        <f t="shared" si="70"/>
        <v>1.8</v>
      </c>
      <c r="Q101" s="98">
        <f t="shared" si="70"/>
        <v>1</v>
      </c>
      <c r="R101" s="98">
        <v>0</v>
      </c>
      <c r="S101" s="65">
        <f t="shared" si="70"/>
        <v>1.5</v>
      </c>
      <c r="T101" s="82">
        <v>27669</v>
      </c>
      <c r="U101" s="149">
        <v>5.7999999999999996E-2</v>
      </c>
      <c r="V101" s="49">
        <v>39.299999999999997</v>
      </c>
    </row>
    <row r="102" spans="1:22" ht="14.25" customHeight="1" x14ac:dyDescent="0.25">
      <c r="A102" s="13"/>
      <c r="B102" s="15">
        <v>45432</v>
      </c>
      <c r="C102" s="31" t="s">
        <v>75</v>
      </c>
      <c r="D102" s="29" t="s">
        <v>80</v>
      </c>
      <c r="E102" s="29">
        <f t="shared" si="67"/>
        <v>9</v>
      </c>
      <c r="F102" s="29">
        <v>7</v>
      </c>
      <c r="G102" s="29">
        <v>2</v>
      </c>
      <c r="H102" s="29">
        <v>0</v>
      </c>
      <c r="I102" s="49">
        <v>0</v>
      </c>
      <c r="J102" s="29">
        <f t="shared" si="68"/>
        <v>13</v>
      </c>
      <c r="K102" s="29">
        <v>11</v>
      </c>
      <c r="L102" s="29">
        <v>0</v>
      </c>
      <c r="M102" s="29">
        <v>1</v>
      </c>
      <c r="N102" s="29">
        <v>1</v>
      </c>
      <c r="O102" s="67">
        <f t="shared" ref="O102:Q102" si="71">J102/E102</f>
        <v>1.4444444444444444</v>
      </c>
      <c r="P102" s="65">
        <f t="shared" si="71"/>
        <v>1.5714285714285714</v>
      </c>
      <c r="Q102" s="98">
        <f t="shared" si="71"/>
        <v>0</v>
      </c>
      <c r="R102" s="98">
        <v>0</v>
      </c>
      <c r="S102" s="98">
        <v>0</v>
      </c>
      <c r="T102" s="31">
        <v>110</v>
      </c>
      <c r="U102" s="149">
        <v>3.5700000000000003E-2</v>
      </c>
      <c r="V102" s="49">
        <v>39.299999999999997</v>
      </c>
    </row>
    <row r="103" spans="1:22" ht="14.25" customHeight="1" thickBot="1" x14ac:dyDescent="0.35">
      <c r="A103" s="13"/>
      <c r="B103" s="16"/>
      <c r="C103" s="34"/>
      <c r="D103" s="36"/>
      <c r="E103" s="43"/>
      <c r="F103" s="43"/>
      <c r="G103" s="43"/>
      <c r="H103" s="43"/>
      <c r="I103" s="51"/>
      <c r="J103" s="43"/>
      <c r="K103" s="43"/>
      <c r="L103" s="43"/>
      <c r="M103" s="43"/>
      <c r="N103" s="43"/>
      <c r="O103" s="55"/>
      <c r="P103" s="43"/>
      <c r="Q103" s="43"/>
      <c r="R103" s="43"/>
      <c r="S103" s="51"/>
      <c r="T103" s="81"/>
      <c r="U103" s="43"/>
      <c r="V103" s="51"/>
    </row>
    <row r="104" spans="1:22" ht="14.25" customHeight="1" x14ac:dyDescent="0.3">
      <c r="A104" s="13"/>
      <c r="B104" s="127" t="s">
        <v>100</v>
      </c>
      <c r="C104" s="114"/>
      <c r="D104" s="127"/>
      <c r="E104" s="134">
        <f>SUM(E98:E102)</f>
        <v>676</v>
      </c>
      <c r="F104" s="134">
        <f t="shared" ref="F104:N104" si="72">SUM(F98:F102)</f>
        <v>327</v>
      </c>
      <c r="G104" s="134">
        <f t="shared" si="72"/>
        <v>275</v>
      </c>
      <c r="H104" s="134">
        <f t="shared" si="72"/>
        <v>32</v>
      </c>
      <c r="I104" s="134">
        <f t="shared" si="72"/>
        <v>42</v>
      </c>
      <c r="J104" s="134">
        <f t="shared" si="72"/>
        <v>565</v>
      </c>
      <c r="K104" s="134">
        <f t="shared" si="72"/>
        <v>284</v>
      </c>
      <c r="L104" s="134">
        <f t="shared" si="72"/>
        <v>218</v>
      </c>
      <c r="M104" s="134">
        <f t="shared" si="72"/>
        <v>24</v>
      </c>
      <c r="N104" s="134">
        <f t="shared" si="72"/>
        <v>39</v>
      </c>
      <c r="O104" s="128">
        <f>J104/E104</f>
        <v>0.83579881656804733</v>
      </c>
      <c r="P104" s="128">
        <f t="shared" ref="P104:S104" si="73">K104/F104</f>
        <v>0.86850152905198774</v>
      </c>
      <c r="Q104" s="128">
        <f t="shared" si="73"/>
        <v>0.79272727272727272</v>
      </c>
      <c r="R104" s="128">
        <f t="shared" si="73"/>
        <v>0.75</v>
      </c>
      <c r="S104" s="128">
        <f t="shared" si="73"/>
        <v>0.9285714285714286</v>
      </c>
      <c r="T104" s="116"/>
      <c r="U104" s="91"/>
      <c r="V104" s="91"/>
    </row>
    <row r="105" spans="1:22" ht="14.25" customHeight="1" x14ac:dyDescent="0.3">
      <c r="A105" s="13"/>
      <c r="B105" s="127"/>
      <c r="C105" s="114"/>
      <c r="D105" s="127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28"/>
      <c r="P105" s="128"/>
      <c r="Q105" s="128"/>
      <c r="R105" s="128"/>
      <c r="S105" s="128"/>
      <c r="T105" s="116"/>
      <c r="U105" s="91"/>
      <c r="V105" s="91"/>
    </row>
    <row r="106" spans="1:22" ht="14.25" customHeight="1" x14ac:dyDescent="0.3">
      <c r="A106" s="13"/>
      <c r="B106" s="113"/>
      <c r="C106" s="114"/>
      <c r="D106" s="127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138" t="str">
        <f t="shared" ref="O106:S106" si="74">IF(O104&gt;=0.95,"UNWORKABLE",IF(O104&lt;=0.89,"WORKABLE","NEUTRAL"))</f>
        <v>WORKABLE</v>
      </c>
      <c r="P106" s="138" t="str">
        <f t="shared" si="74"/>
        <v>WORKABLE</v>
      </c>
      <c r="Q106" s="138" t="str">
        <f t="shared" si="74"/>
        <v>WORKABLE</v>
      </c>
      <c r="R106" s="138" t="str">
        <f t="shared" si="74"/>
        <v>WORKABLE</v>
      </c>
      <c r="S106" s="138" t="str">
        <f t="shared" si="74"/>
        <v>NEUTRAL</v>
      </c>
      <c r="T106" s="116"/>
      <c r="U106" s="91"/>
      <c r="V106" s="91"/>
    </row>
    <row r="107" spans="1:22" ht="14.25" customHeight="1" thickBot="1" x14ac:dyDescent="0.3">
      <c r="A107" s="13"/>
      <c r="B107" s="11"/>
      <c r="C107" s="31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31"/>
      <c r="U107" s="29"/>
      <c r="V107" s="29"/>
    </row>
    <row r="108" spans="1:22" ht="14.25" customHeight="1" x14ac:dyDescent="0.3">
      <c r="A108" s="9" t="s">
        <v>7</v>
      </c>
      <c r="B108" s="10" t="s">
        <v>8</v>
      </c>
      <c r="C108" s="40" t="s">
        <v>9</v>
      </c>
      <c r="D108" s="24" t="s">
        <v>10</v>
      </c>
      <c r="E108" s="24" t="s">
        <v>11</v>
      </c>
      <c r="F108" s="24" t="s">
        <v>12</v>
      </c>
      <c r="G108" s="24" t="s">
        <v>13</v>
      </c>
      <c r="H108" s="24" t="s">
        <v>14</v>
      </c>
      <c r="I108" s="26" t="s">
        <v>15</v>
      </c>
      <c r="J108" s="23" t="s">
        <v>16</v>
      </c>
      <c r="K108" s="24" t="s">
        <v>17</v>
      </c>
      <c r="L108" s="24" t="s">
        <v>18</v>
      </c>
      <c r="M108" s="24" t="s">
        <v>19</v>
      </c>
      <c r="N108" s="25" t="s">
        <v>20</v>
      </c>
      <c r="O108" s="26" t="s">
        <v>21</v>
      </c>
      <c r="P108" s="24" t="s">
        <v>22</v>
      </c>
      <c r="Q108" s="24" t="s">
        <v>23</v>
      </c>
      <c r="R108" s="24" t="s">
        <v>24</v>
      </c>
      <c r="S108" s="26" t="s">
        <v>25</v>
      </c>
      <c r="T108" s="27" t="s">
        <v>26</v>
      </c>
      <c r="U108" s="24" t="s">
        <v>27</v>
      </c>
      <c r="V108" s="25" t="s">
        <v>28</v>
      </c>
    </row>
    <row r="109" spans="1:22" ht="14.25" customHeight="1" x14ac:dyDescent="0.25">
      <c r="A109" s="13"/>
      <c r="B109" s="15">
        <v>45432</v>
      </c>
      <c r="C109" s="31" t="s">
        <v>81</v>
      </c>
      <c r="D109" s="29" t="s">
        <v>82</v>
      </c>
      <c r="E109" s="29">
        <f>SUM(F109:I109)</f>
        <v>323</v>
      </c>
      <c r="F109" s="29">
        <v>168</v>
      </c>
      <c r="G109" s="29">
        <v>58</v>
      </c>
      <c r="H109" s="29">
        <v>26</v>
      </c>
      <c r="I109" s="46">
        <v>71</v>
      </c>
      <c r="J109" s="29">
        <f>SUM(K109:N109)</f>
        <v>156</v>
      </c>
      <c r="K109" s="29">
        <v>79</v>
      </c>
      <c r="L109" s="29">
        <v>33</v>
      </c>
      <c r="M109" s="29">
        <v>11</v>
      </c>
      <c r="N109" s="29">
        <v>33</v>
      </c>
      <c r="O109" s="67">
        <f t="shared" ref="O109:S109" si="75">J109/E109</f>
        <v>0.48297213622291024</v>
      </c>
      <c r="P109" s="65">
        <f t="shared" si="75"/>
        <v>0.47023809523809523</v>
      </c>
      <c r="Q109" s="65">
        <f t="shared" si="75"/>
        <v>0.56896551724137934</v>
      </c>
      <c r="R109" s="65">
        <f t="shared" si="75"/>
        <v>0.42307692307692307</v>
      </c>
      <c r="S109" s="65">
        <f t="shared" si="75"/>
        <v>0.46478873239436619</v>
      </c>
      <c r="T109" s="82">
        <v>10040</v>
      </c>
      <c r="U109" s="122">
        <v>3.8900000000000004E-2</v>
      </c>
      <c r="V109" s="49">
        <v>43.2</v>
      </c>
    </row>
    <row r="110" spans="1:22" ht="14.25" customHeight="1" x14ac:dyDescent="0.25">
      <c r="A110" s="13"/>
      <c r="B110" s="15">
        <v>45432</v>
      </c>
      <c r="C110" s="31" t="s">
        <v>81</v>
      </c>
      <c r="D110" s="29" t="s">
        <v>83</v>
      </c>
      <c r="E110" s="29">
        <f t="shared" ref="E110:E113" si="76">SUM(F110:I110)</f>
        <v>17</v>
      </c>
      <c r="F110" s="29">
        <v>8</v>
      </c>
      <c r="G110" s="29">
        <v>3</v>
      </c>
      <c r="H110" s="29">
        <v>2</v>
      </c>
      <c r="I110" s="49">
        <v>4</v>
      </c>
      <c r="J110" s="29">
        <f t="shared" ref="J110:J113" si="77">SUM(K110:N110)</f>
        <v>12</v>
      </c>
      <c r="K110" s="29">
        <v>4</v>
      </c>
      <c r="L110" s="29">
        <v>2</v>
      </c>
      <c r="M110" s="29">
        <v>1</v>
      </c>
      <c r="N110" s="29">
        <v>5</v>
      </c>
      <c r="O110" s="67">
        <f t="shared" ref="O110:S110" si="78">J110/E110</f>
        <v>0.70588235294117652</v>
      </c>
      <c r="P110" s="65">
        <f t="shared" si="78"/>
        <v>0.5</v>
      </c>
      <c r="Q110" s="65">
        <f t="shared" si="78"/>
        <v>0.66666666666666663</v>
      </c>
      <c r="R110" s="65">
        <f t="shared" si="78"/>
        <v>0.5</v>
      </c>
      <c r="S110" s="65">
        <f t="shared" si="78"/>
        <v>1.25</v>
      </c>
      <c r="T110" s="82">
        <v>23527</v>
      </c>
      <c r="U110" s="122">
        <v>4.5299999999999993E-2</v>
      </c>
      <c r="V110" s="49">
        <v>43.2</v>
      </c>
    </row>
    <row r="111" spans="1:22" ht="14.25" customHeight="1" x14ac:dyDescent="0.25">
      <c r="A111" s="13"/>
      <c r="B111" s="15">
        <v>45432</v>
      </c>
      <c r="C111" s="31" t="s">
        <v>81</v>
      </c>
      <c r="D111" s="29" t="s">
        <v>84</v>
      </c>
      <c r="E111" s="29">
        <f t="shared" si="76"/>
        <v>56</v>
      </c>
      <c r="F111" s="29">
        <v>49</v>
      </c>
      <c r="G111" s="29">
        <v>6</v>
      </c>
      <c r="H111" s="29">
        <v>0</v>
      </c>
      <c r="I111" s="49">
        <v>1</v>
      </c>
      <c r="J111" s="29">
        <f t="shared" si="77"/>
        <v>58</v>
      </c>
      <c r="K111" s="29">
        <v>51</v>
      </c>
      <c r="L111" s="29">
        <v>4</v>
      </c>
      <c r="M111" s="29">
        <v>0</v>
      </c>
      <c r="N111" s="29">
        <v>3</v>
      </c>
      <c r="O111" s="67">
        <f t="shared" ref="O111:S111" si="79">J111/E111</f>
        <v>1.0357142857142858</v>
      </c>
      <c r="P111" s="65">
        <f t="shared" si="79"/>
        <v>1.0408163265306123</v>
      </c>
      <c r="Q111" s="65">
        <f t="shared" si="79"/>
        <v>0.66666666666666663</v>
      </c>
      <c r="R111" s="98">
        <v>0</v>
      </c>
      <c r="S111" s="98">
        <f t="shared" si="79"/>
        <v>3</v>
      </c>
      <c r="T111" s="82">
        <v>6249</v>
      </c>
      <c r="U111" s="122">
        <v>2.8600000000000004E-2</v>
      </c>
      <c r="V111" s="49">
        <v>43.2</v>
      </c>
    </row>
    <row r="112" spans="1:22" ht="14.25" customHeight="1" x14ac:dyDescent="0.25">
      <c r="A112" s="13"/>
      <c r="B112" s="15">
        <v>45432</v>
      </c>
      <c r="C112" s="31" t="s">
        <v>81</v>
      </c>
      <c r="D112" s="31" t="s">
        <v>85</v>
      </c>
      <c r="E112" s="29">
        <f t="shared" si="76"/>
        <v>72</v>
      </c>
      <c r="F112" s="29">
        <v>53</v>
      </c>
      <c r="G112" s="29">
        <v>12</v>
      </c>
      <c r="H112" s="29">
        <v>2</v>
      </c>
      <c r="I112" s="49">
        <v>5</v>
      </c>
      <c r="J112" s="29">
        <f t="shared" si="77"/>
        <v>70</v>
      </c>
      <c r="K112" s="29">
        <v>61</v>
      </c>
      <c r="L112" s="29">
        <v>5</v>
      </c>
      <c r="M112" s="29">
        <v>2</v>
      </c>
      <c r="N112" s="29">
        <v>2</v>
      </c>
      <c r="O112" s="67">
        <f t="shared" ref="O112:S112" si="80">J112/E112</f>
        <v>0.97222222222222221</v>
      </c>
      <c r="P112" s="65">
        <f t="shared" si="80"/>
        <v>1.1509433962264151</v>
      </c>
      <c r="Q112" s="65">
        <f t="shared" si="80"/>
        <v>0.41666666666666669</v>
      </c>
      <c r="R112" s="98">
        <f t="shared" si="80"/>
        <v>1</v>
      </c>
      <c r="S112" s="65">
        <f t="shared" si="80"/>
        <v>0.4</v>
      </c>
      <c r="T112" s="82">
        <v>38994</v>
      </c>
      <c r="U112" s="122">
        <v>3.9899999999999998E-2</v>
      </c>
      <c r="V112" s="49">
        <v>43.2</v>
      </c>
    </row>
    <row r="113" spans="1:22" ht="14.25" customHeight="1" x14ac:dyDescent="0.25">
      <c r="A113" s="13"/>
      <c r="B113" s="15">
        <v>45432</v>
      </c>
      <c r="C113" s="31" t="s">
        <v>81</v>
      </c>
      <c r="D113" s="29" t="s">
        <v>86</v>
      </c>
      <c r="E113" s="29">
        <f t="shared" si="76"/>
        <v>114</v>
      </c>
      <c r="F113" s="29">
        <v>0</v>
      </c>
      <c r="G113" s="29">
        <v>8</v>
      </c>
      <c r="H113" s="29">
        <v>24</v>
      </c>
      <c r="I113" s="46">
        <v>82</v>
      </c>
      <c r="J113" s="29">
        <f t="shared" si="77"/>
        <v>64</v>
      </c>
      <c r="K113" s="29">
        <v>2</v>
      </c>
      <c r="L113" s="29">
        <v>11</v>
      </c>
      <c r="M113" s="29">
        <v>17</v>
      </c>
      <c r="N113" s="29">
        <v>34</v>
      </c>
      <c r="O113" s="67">
        <f t="shared" ref="O113:S113" si="81">J113/E113</f>
        <v>0.56140350877192979</v>
      </c>
      <c r="P113" s="98">
        <v>0</v>
      </c>
      <c r="Q113" s="65">
        <f t="shared" si="81"/>
        <v>1.375</v>
      </c>
      <c r="R113" s="65">
        <f t="shared" si="81"/>
        <v>0.70833333333333337</v>
      </c>
      <c r="S113" s="65">
        <f t="shared" si="81"/>
        <v>0.41463414634146339</v>
      </c>
      <c r="T113" s="31">
        <v>635</v>
      </c>
      <c r="U113" s="122">
        <v>4.0299999999999996E-2</v>
      </c>
      <c r="V113" s="49">
        <v>43.2</v>
      </c>
    </row>
    <row r="114" spans="1:22" ht="14.25" customHeight="1" thickBot="1" x14ac:dyDescent="0.35">
      <c r="A114" s="13"/>
      <c r="B114" s="16"/>
      <c r="C114" s="34"/>
      <c r="D114" s="36"/>
      <c r="E114" s="36"/>
      <c r="F114" s="36"/>
      <c r="G114" s="36"/>
      <c r="H114" s="36"/>
      <c r="I114" s="50"/>
      <c r="J114" s="36"/>
      <c r="K114" s="36"/>
      <c r="L114" s="36"/>
      <c r="M114" s="36"/>
      <c r="N114" s="36"/>
      <c r="O114" s="56"/>
      <c r="P114" s="36"/>
      <c r="Q114" s="36"/>
      <c r="R114" s="36"/>
      <c r="S114" s="50"/>
      <c r="T114" s="81"/>
      <c r="U114" s="43"/>
      <c r="V114" s="51"/>
    </row>
    <row r="115" spans="1:22" ht="15.75" customHeight="1" x14ac:dyDescent="0.3">
      <c r="B115" s="135" t="s">
        <v>100</v>
      </c>
      <c r="E115" s="136">
        <f>SUM(E109:E113)</f>
        <v>582</v>
      </c>
      <c r="F115" s="136">
        <f t="shared" ref="F115:N115" si="82">SUM(F109:F113)</f>
        <v>278</v>
      </c>
      <c r="G115" s="136">
        <f t="shared" si="82"/>
        <v>87</v>
      </c>
      <c r="H115" s="136">
        <f t="shared" si="82"/>
        <v>54</v>
      </c>
      <c r="I115" s="136">
        <f t="shared" si="82"/>
        <v>163</v>
      </c>
      <c r="J115" s="136">
        <f t="shared" si="82"/>
        <v>360</v>
      </c>
      <c r="K115" s="136">
        <f t="shared" si="82"/>
        <v>197</v>
      </c>
      <c r="L115" s="136">
        <f t="shared" si="82"/>
        <v>55</v>
      </c>
      <c r="M115" s="136">
        <f t="shared" si="82"/>
        <v>31</v>
      </c>
      <c r="N115" s="136">
        <f t="shared" si="82"/>
        <v>77</v>
      </c>
      <c r="O115" s="137">
        <f>J115/E115</f>
        <v>0.61855670103092786</v>
      </c>
      <c r="P115" s="137">
        <f t="shared" ref="P115:S115" si="83">K115/F115</f>
        <v>0.70863309352517989</v>
      </c>
      <c r="Q115" s="137">
        <f t="shared" si="83"/>
        <v>0.63218390804597702</v>
      </c>
      <c r="R115" s="137">
        <f t="shared" si="83"/>
        <v>0.57407407407407407</v>
      </c>
      <c r="S115" s="137">
        <f t="shared" si="83"/>
        <v>0.47239263803680981</v>
      </c>
    </row>
    <row r="116" spans="1:22" ht="15.75" customHeight="1" x14ac:dyDescent="0.25"/>
    <row r="117" spans="1:22" ht="15.75" customHeight="1" x14ac:dyDescent="0.25">
      <c r="O117" s="138" t="str">
        <f t="shared" ref="O117:S117" si="84">IF(O115&gt;=0.95,"UNWORKABLE",IF(O115&lt;=0.89,"WORKABLE","NEUTRAL"))</f>
        <v>WORKABLE</v>
      </c>
      <c r="P117" s="138" t="str">
        <f t="shared" si="84"/>
        <v>WORKABLE</v>
      </c>
      <c r="Q117" s="138" t="str">
        <f t="shared" si="84"/>
        <v>WORKABLE</v>
      </c>
      <c r="R117" s="138" t="str">
        <f t="shared" si="84"/>
        <v>WORKABLE</v>
      </c>
      <c r="S117" s="138" t="str">
        <f t="shared" si="84"/>
        <v>WORKABLE</v>
      </c>
    </row>
    <row r="118" spans="1:22" ht="15.75" customHeight="1" x14ac:dyDescent="0.25"/>
    <row r="119" spans="1:22" ht="15.75" customHeight="1" x14ac:dyDescent="0.25"/>
    <row r="120" spans="1:22" ht="15.75" customHeight="1" x14ac:dyDescent="0.25"/>
    <row r="121" spans="1:22" ht="15.75" customHeight="1" x14ac:dyDescent="0.25"/>
    <row r="122" spans="1:22" ht="15.75" customHeight="1" x14ac:dyDescent="0.25"/>
    <row r="123" spans="1:22" ht="15.75" customHeight="1" x14ac:dyDescent="0.25"/>
    <row r="124" spans="1:22" ht="15.75" customHeight="1" x14ac:dyDescent="0.25"/>
    <row r="125" spans="1:22" ht="15.75" customHeight="1" x14ac:dyDescent="0.25"/>
    <row r="126" spans="1:22" ht="15.75" customHeight="1" x14ac:dyDescent="0.25"/>
    <row r="127" spans="1:22" ht="15.75" customHeight="1" x14ac:dyDescent="0.25"/>
    <row r="128" spans="1:2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</sheetData>
  <autoFilter ref="A41:V46" xr:uid="{00000000-0001-0000-0000-000000000000}">
    <sortState xmlns:xlrd2="http://schemas.microsoft.com/office/spreadsheetml/2017/richdata2" ref="A42:V46">
      <sortCondition descending="1" ref="T41:T46"/>
    </sortState>
  </autoFilter>
  <mergeCells count="3">
    <mergeCell ref="C2:M4"/>
    <mergeCell ref="T6:V6"/>
    <mergeCell ref="C1:E1"/>
  </mergeCells>
  <conditionalFormatting sqref="O1:S1048576">
    <cfRule type="containsText" dxfId="2" priority="1" operator="containsText" text="UNWORKABLE">
      <formula>NOT(ISERROR(SEARCH("UNWORKABLE",O1)))</formula>
    </cfRule>
    <cfRule type="containsText" dxfId="1" priority="2" operator="containsText" text="NEUTRAL">
      <formula>NOT(ISERROR(SEARCH("NEUTRAL",O1)))</formula>
    </cfRule>
    <cfRule type="containsText" dxfId="0" priority="3" operator="containsText" text="WORKABLE">
      <formula>NOT(ISERROR(SEARCH("WORKABLE",O1)))</formula>
    </cfRule>
  </conditionalFormatting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4190-42E5-47BA-ACF2-5000DCCCAAEA}">
  <sheetPr codeName="Hoja1"/>
  <dimension ref="A1:AN280"/>
  <sheetViews>
    <sheetView showGridLines="0" topLeftCell="F1" zoomScale="110" zoomScaleNormal="110" workbookViewId="0">
      <pane ySplit="3" topLeftCell="A4" activePane="bottomLeft" state="frozen"/>
      <selection pane="bottomLeft" activeCell="V32" sqref="V32"/>
    </sheetView>
  </sheetViews>
  <sheetFormatPr baseColWidth="10" defaultColWidth="12.6640625" defaultRowHeight="15" customHeight="1" x14ac:dyDescent="0.25"/>
  <cols>
    <col min="1" max="1" width="1.6640625" style="3" customWidth="1"/>
    <col min="2" max="2" width="14.88671875" style="3" customWidth="1"/>
    <col min="3" max="3" width="12.44140625" style="28" bestFit="1" customWidth="1"/>
    <col min="4" max="4" width="20.33203125" style="28" bestFit="1" customWidth="1"/>
    <col min="5" max="5" width="14.21875" style="28" bestFit="1" customWidth="1"/>
    <col min="6" max="7" width="18.88671875" style="28" bestFit="1" customWidth="1"/>
    <col min="8" max="8" width="21.33203125" style="28" customWidth="1"/>
    <col min="9" max="9" width="20" style="28" customWidth="1"/>
    <col min="10" max="10" width="23.6640625" style="57" customWidth="1"/>
    <col min="11" max="11" width="25.88671875" style="28" customWidth="1"/>
    <col min="12" max="13" width="22" style="28" customWidth="1"/>
    <col min="14" max="14" width="21.33203125" style="28" customWidth="1"/>
    <col min="15" max="15" width="14.44140625" style="28" customWidth="1"/>
    <col min="16" max="16" width="18.6640625" style="28" customWidth="1"/>
    <col min="17" max="18" width="18.88671875" style="28" customWidth="1"/>
    <col min="19" max="19" width="18.21875" style="28" customWidth="1"/>
    <col min="20" max="20" width="19.109375" style="28" customWidth="1"/>
    <col min="21" max="21" width="17.6640625" style="28" customWidth="1"/>
    <col min="22" max="22" width="16.44140625" style="28" customWidth="1"/>
    <col min="23" max="34" width="8.6640625" style="3" customWidth="1"/>
    <col min="35" max="16384" width="12.6640625" style="3"/>
  </cols>
  <sheetData>
    <row r="1" spans="1:40" ht="14.25" customHeight="1" thickBot="1" x14ac:dyDescent="0.3">
      <c r="A1" s="5"/>
      <c r="B1" s="6" t="s">
        <v>2</v>
      </c>
      <c r="C1" s="32"/>
      <c r="D1" s="32"/>
      <c r="E1" s="32"/>
      <c r="F1" s="32"/>
      <c r="G1" s="32"/>
      <c r="H1" s="32"/>
      <c r="I1" s="32"/>
      <c r="J1" s="52"/>
      <c r="K1" s="32"/>
      <c r="L1" s="32"/>
      <c r="M1" s="32"/>
      <c r="N1" s="32"/>
      <c r="O1" s="64"/>
      <c r="P1" s="64"/>
      <c r="Q1" s="64"/>
      <c r="R1" s="64"/>
      <c r="S1" s="71"/>
      <c r="T1" s="76"/>
      <c r="U1" s="72"/>
      <c r="V1" s="85"/>
      <c r="W1" s="7"/>
      <c r="X1" s="7"/>
      <c r="Y1" s="7"/>
      <c r="Z1" s="7"/>
      <c r="AA1" s="7"/>
      <c r="AB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14.25" customHeight="1" thickBot="1" x14ac:dyDescent="0.35">
      <c r="A2" s="5"/>
      <c r="B2" s="92" t="s">
        <v>3</v>
      </c>
      <c r="C2" s="93"/>
      <c r="D2" s="93"/>
      <c r="E2" s="93"/>
      <c r="F2" s="93"/>
      <c r="G2" s="93"/>
      <c r="H2" s="93"/>
      <c r="I2" s="94"/>
      <c r="J2" s="95" t="s">
        <v>4</v>
      </c>
      <c r="K2" s="93"/>
      <c r="L2" s="93"/>
      <c r="M2" s="93"/>
      <c r="N2" s="94"/>
      <c r="O2" s="93" t="s">
        <v>5</v>
      </c>
      <c r="P2" s="93"/>
      <c r="Q2" s="93"/>
      <c r="R2" s="93"/>
      <c r="S2" s="93"/>
      <c r="T2" s="126" t="s">
        <v>6</v>
      </c>
      <c r="U2" s="126"/>
      <c r="V2" s="12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s="28" customFormat="1" ht="16.2" thickBot="1" x14ac:dyDescent="0.35">
      <c r="A3" s="18" t="s">
        <v>7</v>
      </c>
      <c r="B3" s="19" t="s">
        <v>8</v>
      </c>
      <c r="C3" s="20" t="s">
        <v>9</v>
      </c>
      <c r="D3" s="21" t="s">
        <v>10</v>
      </c>
      <c r="E3" s="21" t="s">
        <v>11</v>
      </c>
      <c r="F3" s="21" t="s">
        <v>12</v>
      </c>
      <c r="G3" s="21" t="s">
        <v>13</v>
      </c>
      <c r="H3" s="21" t="s">
        <v>14</v>
      </c>
      <c r="I3" s="21" t="s">
        <v>15</v>
      </c>
      <c r="J3" s="60" t="s">
        <v>16</v>
      </c>
      <c r="K3" s="24" t="s">
        <v>17</v>
      </c>
      <c r="L3" s="24" t="s">
        <v>18</v>
      </c>
      <c r="M3" s="24" t="s">
        <v>19</v>
      </c>
      <c r="N3" s="25" t="s">
        <v>20</v>
      </c>
      <c r="O3" s="26" t="s">
        <v>21</v>
      </c>
      <c r="P3" s="24" t="s">
        <v>22</v>
      </c>
      <c r="Q3" s="24" t="s">
        <v>23</v>
      </c>
      <c r="R3" s="24" t="s">
        <v>24</v>
      </c>
      <c r="S3" s="26" t="s">
        <v>25</v>
      </c>
      <c r="T3" s="27" t="s">
        <v>26</v>
      </c>
      <c r="U3" s="24" t="s">
        <v>96</v>
      </c>
      <c r="V3" s="25" t="s">
        <v>28</v>
      </c>
      <c r="X3" s="29"/>
      <c r="Y3" s="30"/>
    </row>
    <row r="4" spans="1:40" ht="14.25" customHeight="1" x14ac:dyDescent="0.25">
      <c r="A4" s="13"/>
      <c r="B4" s="14">
        <v>45425</v>
      </c>
      <c r="C4" s="31" t="s">
        <v>29</v>
      </c>
      <c r="D4" s="29" t="s">
        <v>30</v>
      </c>
      <c r="E4" s="103">
        <f t="shared" ref="E4:E11" si="0">SUM(F4:I4)</f>
        <v>2281</v>
      </c>
      <c r="F4" s="103">
        <v>2242</v>
      </c>
      <c r="G4" s="29">
        <v>25</v>
      </c>
      <c r="H4" s="29">
        <v>3</v>
      </c>
      <c r="I4" s="105">
        <v>11</v>
      </c>
      <c r="J4" s="109">
        <f t="shared" ref="J4:J11" si="1">SUM(K4:N4)</f>
        <v>2169</v>
      </c>
      <c r="K4" s="29">
        <v>2138</v>
      </c>
      <c r="L4" s="29">
        <v>27</v>
      </c>
      <c r="M4" s="29">
        <v>0</v>
      </c>
      <c r="N4" s="49">
        <v>4</v>
      </c>
      <c r="O4" s="65">
        <f t="array" ref="O4">IFERROR(J4/E4,0)</f>
        <v>0.95089872862779479</v>
      </c>
      <c r="P4" s="65">
        <f t="shared" ref="P4:P35" si="2">IFERROR(K4/F4,0)</f>
        <v>0.95361284567350579</v>
      </c>
      <c r="Q4" s="65">
        <f t="shared" ref="Q4:Q35" si="3">IFERROR(L4/G4,0)</f>
        <v>1.08</v>
      </c>
      <c r="R4" s="98">
        <f t="shared" ref="R4:R35" si="4">IFERROR(M4/H4,0)</f>
        <v>0</v>
      </c>
      <c r="S4" s="65">
        <f t="shared" ref="S4:S35" si="5">IFERROR(N4/I4,0)</f>
        <v>0.36363636363636365</v>
      </c>
      <c r="T4" s="77">
        <v>123751</v>
      </c>
      <c r="U4" s="122">
        <v>5.2700000000000004E-2</v>
      </c>
      <c r="V4" s="99">
        <v>0.41600000000000004</v>
      </c>
      <c r="X4" s="11"/>
      <c r="Y4" s="97"/>
    </row>
    <row r="5" spans="1:40" ht="14.25" customHeight="1" x14ac:dyDescent="0.25">
      <c r="A5" s="13"/>
      <c r="B5" s="15">
        <v>45425</v>
      </c>
      <c r="C5" s="31" t="s">
        <v>29</v>
      </c>
      <c r="D5" s="29" t="s">
        <v>31</v>
      </c>
      <c r="E5" s="103">
        <f t="shared" si="0"/>
        <v>2208</v>
      </c>
      <c r="F5" s="103">
        <v>2183</v>
      </c>
      <c r="G5" s="29">
        <v>12</v>
      </c>
      <c r="H5" s="29">
        <v>2</v>
      </c>
      <c r="I5" s="106">
        <v>11</v>
      </c>
      <c r="J5" s="109">
        <f t="shared" si="1"/>
        <v>1569</v>
      </c>
      <c r="K5" s="29">
        <v>1556</v>
      </c>
      <c r="L5" s="29">
        <v>3</v>
      </c>
      <c r="M5" s="29">
        <v>2</v>
      </c>
      <c r="N5" s="49">
        <v>8</v>
      </c>
      <c r="O5" s="65">
        <f t="array" ref="O5">IFERROR(J5/E5,0)</f>
        <v>0.71059782608695654</v>
      </c>
      <c r="P5" s="65">
        <f t="shared" si="2"/>
        <v>0.71278057718735688</v>
      </c>
      <c r="Q5" s="65">
        <f t="shared" si="3"/>
        <v>0.25</v>
      </c>
      <c r="R5" s="98">
        <f t="shared" si="4"/>
        <v>1</v>
      </c>
      <c r="S5" s="65">
        <f t="shared" si="5"/>
        <v>0.72727272727272729</v>
      </c>
      <c r="T5" s="77">
        <v>193003</v>
      </c>
      <c r="U5" s="122">
        <v>2.8399999999999998E-2</v>
      </c>
      <c r="V5" s="99">
        <v>0.41</v>
      </c>
      <c r="X5" s="11"/>
      <c r="Y5" s="12"/>
    </row>
    <row r="6" spans="1:40" ht="14.25" customHeight="1" x14ac:dyDescent="0.25">
      <c r="A6" s="13"/>
      <c r="B6" s="15">
        <v>45425</v>
      </c>
      <c r="C6" s="31" t="s">
        <v>29</v>
      </c>
      <c r="D6" s="29" t="s">
        <v>32</v>
      </c>
      <c r="E6" s="103">
        <f t="shared" si="0"/>
        <v>337</v>
      </c>
      <c r="F6" s="104">
        <v>291</v>
      </c>
      <c r="G6" s="42">
        <v>24</v>
      </c>
      <c r="H6" s="42">
        <v>7</v>
      </c>
      <c r="I6" s="107">
        <v>15</v>
      </c>
      <c r="J6" s="109">
        <f t="shared" si="1"/>
        <v>313</v>
      </c>
      <c r="K6" s="29">
        <v>266</v>
      </c>
      <c r="L6" s="29">
        <v>28</v>
      </c>
      <c r="M6" s="29">
        <v>5</v>
      </c>
      <c r="N6" s="49">
        <v>14</v>
      </c>
      <c r="O6" s="65">
        <f t="array" ref="O6">IFERROR(J6/E6,0)</f>
        <v>0.92878338278931749</v>
      </c>
      <c r="P6" s="65">
        <f t="shared" si="2"/>
        <v>0.91408934707903777</v>
      </c>
      <c r="Q6" s="65">
        <f t="shared" si="3"/>
        <v>1.1666666666666667</v>
      </c>
      <c r="R6" s="65">
        <f t="shared" si="4"/>
        <v>0.7142857142857143</v>
      </c>
      <c r="S6" s="65">
        <f t="shared" si="5"/>
        <v>0.93333333333333335</v>
      </c>
      <c r="T6" s="77">
        <v>84694</v>
      </c>
      <c r="U6" s="122">
        <v>4.3900000000000002E-2</v>
      </c>
      <c r="V6" s="99">
        <v>0.44</v>
      </c>
      <c r="X6" s="11"/>
      <c r="Y6" s="12"/>
    </row>
    <row r="7" spans="1:40" ht="14.25" customHeight="1" x14ac:dyDescent="0.25">
      <c r="A7" s="13"/>
      <c r="B7" s="15">
        <v>45425</v>
      </c>
      <c r="C7" s="31" t="s">
        <v>29</v>
      </c>
      <c r="D7" s="29" t="s">
        <v>33</v>
      </c>
      <c r="E7" s="103">
        <f t="shared" si="0"/>
        <v>111</v>
      </c>
      <c r="F7" s="104">
        <v>80</v>
      </c>
      <c r="G7" s="42">
        <v>11</v>
      </c>
      <c r="H7" s="42">
        <v>4</v>
      </c>
      <c r="I7" s="107">
        <v>16</v>
      </c>
      <c r="J7" s="109">
        <f t="shared" si="1"/>
        <v>99</v>
      </c>
      <c r="K7" s="29">
        <v>80</v>
      </c>
      <c r="L7" s="29">
        <v>8</v>
      </c>
      <c r="M7" s="29">
        <v>5</v>
      </c>
      <c r="N7" s="49">
        <v>6</v>
      </c>
      <c r="O7" s="65">
        <f t="array" ref="O7">IFERROR(J7/E7,0)</f>
        <v>0.89189189189189189</v>
      </c>
      <c r="P7" s="98">
        <f t="shared" si="2"/>
        <v>1</v>
      </c>
      <c r="Q7" s="65">
        <f t="shared" si="3"/>
        <v>0.72727272727272729</v>
      </c>
      <c r="R7" s="65">
        <f t="shared" si="4"/>
        <v>1.25</v>
      </c>
      <c r="S7" s="65">
        <f t="shared" si="5"/>
        <v>0.375</v>
      </c>
      <c r="T7" s="77">
        <v>41551</v>
      </c>
      <c r="U7" s="146">
        <v>4.6799999999999994E-2</v>
      </c>
      <c r="V7" s="99">
        <v>0.41600000000000004</v>
      </c>
      <c r="X7" s="11"/>
      <c r="Y7" s="12"/>
    </row>
    <row r="8" spans="1:40" ht="14.25" customHeight="1" x14ac:dyDescent="0.25">
      <c r="A8" s="13"/>
      <c r="B8" s="15">
        <v>45425</v>
      </c>
      <c r="C8" s="31" t="s">
        <v>29</v>
      </c>
      <c r="D8" s="31" t="s">
        <v>34</v>
      </c>
      <c r="E8" s="103">
        <f t="shared" si="0"/>
        <v>92</v>
      </c>
      <c r="F8" s="103">
        <v>67</v>
      </c>
      <c r="G8" s="29">
        <v>20</v>
      </c>
      <c r="H8" s="29">
        <v>3</v>
      </c>
      <c r="I8" s="106">
        <v>2</v>
      </c>
      <c r="J8" s="109">
        <f t="shared" si="1"/>
        <v>47</v>
      </c>
      <c r="K8" s="29">
        <v>29</v>
      </c>
      <c r="L8" s="29">
        <v>11</v>
      </c>
      <c r="M8" s="29">
        <v>4</v>
      </c>
      <c r="N8" s="49">
        <v>3</v>
      </c>
      <c r="O8" s="65">
        <f t="array" ref="O8">IFERROR(J8/E8,0)</f>
        <v>0.51086956521739135</v>
      </c>
      <c r="P8" s="65">
        <f t="shared" si="2"/>
        <v>0.43283582089552236</v>
      </c>
      <c r="Q8" s="65">
        <f t="shared" si="3"/>
        <v>0.55000000000000004</v>
      </c>
      <c r="R8" s="65">
        <f t="shared" si="4"/>
        <v>1.3333333333333333</v>
      </c>
      <c r="S8" s="65">
        <f t="shared" si="5"/>
        <v>1.5</v>
      </c>
      <c r="T8" s="77">
        <v>53017</v>
      </c>
      <c r="U8" s="122">
        <v>4.7299999999999995E-2</v>
      </c>
      <c r="V8" s="99">
        <v>0.46</v>
      </c>
    </row>
    <row r="9" spans="1:40" ht="14.25" customHeight="1" x14ac:dyDescent="0.25">
      <c r="A9" s="13"/>
      <c r="B9" s="15">
        <v>45426</v>
      </c>
      <c r="C9" s="31" t="s">
        <v>35</v>
      </c>
      <c r="D9" s="29" t="s">
        <v>36</v>
      </c>
      <c r="E9" s="103">
        <f t="shared" si="0"/>
        <v>3164</v>
      </c>
      <c r="F9" s="103">
        <v>3141</v>
      </c>
      <c r="G9" s="29">
        <v>15</v>
      </c>
      <c r="H9" s="29">
        <v>2</v>
      </c>
      <c r="I9" s="106">
        <v>6</v>
      </c>
      <c r="J9" s="109">
        <f t="shared" si="1"/>
        <v>1819</v>
      </c>
      <c r="K9" s="29">
        <v>1813</v>
      </c>
      <c r="L9" s="29">
        <v>5</v>
      </c>
      <c r="M9" s="29">
        <v>0</v>
      </c>
      <c r="N9" s="49">
        <v>1</v>
      </c>
      <c r="O9" s="65">
        <f t="array" ref="O9">IFERROR(J9/E9,0)</f>
        <v>0.57490518331226292</v>
      </c>
      <c r="P9" s="65">
        <f t="shared" si="2"/>
        <v>0.57720471187519895</v>
      </c>
      <c r="Q9" s="65">
        <f t="shared" si="3"/>
        <v>0.33333333333333331</v>
      </c>
      <c r="R9" s="98">
        <f t="shared" si="4"/>
        <v>0</v>
      </c>
      <c r="S9" s="65">
        <f t="shared" si="5"/>
        <v>0.16666666666666666</v>
      </c>
      <c r="T9" s="77">
        <v>62531</v>
      </c>
      <c r="U9" s="122">
        <v>5.28E-2</v>
      </c>
      <c r="V9" s="99">
        <v>0.38900000000000001</v>
      </c>
    </row>
    <row r="10" spans="1:40" ht="14.25" customHeight="1" x14ac:dyDescent="0.25">
      <c r="A10" s="13"/>
      <c r="B10" s="15">
        <v>45426</v>
      </c>
      <c r="C10" s="31" t="s">
        <v>35</v>
      </c>
      <c r="D10" s="29" t="s">
        <v>37</v>
      </c>
      <c r="E10" s="103">
        <f t="shared" si="0"/>
        <v>1344</v>
      </c>
      <c r="F10" s="103">
        <v>1137</v>
      </c>
      <c r="G10" s="29">
        <v>81</v>
      </c>
      <c r="H10" s="29">
        <v>40</v>
      </c>
      <c r="I10" s="106">
        <v>86</v>
      </c>
      <c r="J10" s="109">
        <f t="shared" si="1"/>
        <v>875</v>
      </c>
      <c r="K10" s="29">
        <v>747</v>
      </c>
      <c r="L10" s="29">
        <v>50</v>
      </c>
      <c r="M10" s="29">
        <v>31</v>
      </c>
      <c r="N10" s="49">
        <v>47</v>
      </c>
      <c r="O10" s="65">
        <f t="array" ref="O10">IFERROR(J10/E10,0)</f>
        <v>0.65104166666666663</v>
      </c>
      <c r="P10" s="65">
        <f t="shared" si="2"/>
        <v>0.65699208443271773</v>
      </c>
      <c r="Q10" s="65">
        <f t="shared" si="3"/>
        <v>0.61728395061728392</v>
      </c>
      <c r="R10" s="65">
        <f t="shared" si="4"/>
        <v>0.77500000000000002</v>
      </c>
      <c r="S10" s="65">
        <f t="shared" si="5"/>
        <v>0.54651162790697672</v>
      </c>
      <c r="T10" s="77">
        <v>19230</v>
      </c>
      <c r="U10" s="146">
        <v>2.3300000000000001E-2</v>
      </c>
      <c r="V10" s="99">
        <v>0.38900000000000001</v>
      </c>
    </row>
    <row r="11" spans="1:40" ht="14.25" customHeight="1" x14ac:dyDescent="0.25">
      <c r="A11" s="13"/>
      <c r="B11" s="15">
        <v>45427</v>
      </c>
      <c r="C11" s="31" t="s">
        <v>35</v>
      </c>
      <c r="D11" s="31" t="s">
        <v>38</v>
      </c>
      <c r="E11" s="103">
        <f t="shared" si="0"/>
        <v>225</v>
      </c>
      <c r="F11" s="103">
        <v>217</v>
      </c>
      <c r="G11" s="29">
        <v>6</v>
      </c>
      <c r="H11" s="29">
        <v>1</v>
      </c>
      <c r="I11" s="106">
        <v>1</v>
      </c>
      <c r="J11" s="109">
        <f t="shared" si="1"/>
        <v>76</v>
      </c>
      <c r="K11" s="29">
        <v>76</v>
      </c>
      <c r="L11" s="29">
        <v>0</v>
      </c>
      <c r="M11" s="29">
        <v>0</v>
      </c>
      <c r="N11" s="49">
        <v>0</v>
      </c>
      <c r="O11" s="65">
        <f t="array" ref="O11">IFERROR(J11/E11,0)</f>
        <v>0.33777777777777779</v>
      </c>
      <c r="P11" s="65">
        <f t="shared" si="2"/>
        <v>0.35023041474654376</v>
      </c>
      <c r="Q11" s="98">
        <f t="shared" si="3"/>
        <v>0</v>
      </c>
      <c r="R11" s="98">
        <f t="shared" si="4"/>
        <v>0</v>
      </c>
      <c r="S11" s="98">
        <f t="shared" si="5"/>
        <v>0</v>
      </c>
      <c r="T11" s="77">
        <v>9906</v>
      </c>
      <c r="U11" s="122">
        <v>3.2100000000000004E-2</v>
      </c>
      <c r="V11" s="99">
        <v>0.38900000000000001</v>
      </c>
    </row>
    <row r="12" spans="1:40" ht="14.25" customHeight="1" x14ac:dyDescent="0.25">
      <c r="A12" s="13"/>
      <c r="B12" s="15">
        <v>45427</v>
      </c>
      <c r="C12" s="31" t="s">
        <v>35</v>
      </c>
      <c r="D12" s="31" t="s">
        <v>39</v>
      </c>
      <c r="E12" s="110">
        <v>0</v>
      </c>
      <c r="F12" s="110">
        <v>0</v>
      </c>
      <c r="G12" s="110">
        <v>0</v>
      </c>
      <c r="H12" s="110">
        <v>0</v>
      </c>
      <c r="I12" s="14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f t="array" ref="O12">IFERROR(J12/E12,0)</f>
        <v>0</v>
      </c>
      <c r="P12" s="98">
        <f t="shared" si="2"/>
        <v>0</v>
      </c>
      <c r="Q12" s="98">
        <f t="shared" si="3"/>
        <v>0</v>
      </c>
      <c r="R12" s="98">
        <f t="shared" si="4"/>
        <v>0</v>
      </c>
      <c r="S12" s="98">
        <f t="shared" si="5"/>
        <v>0</v>
      </c>
      <c r="T12" s="98">
        <v>0</v>
      </c>
      <c r="U12" s="96">
        <v>0</v>
      </c>
      <c r="V12" s="98">
        <v>0</v>
      </c>
    </row>
    <row r="13" spans="1:40" ht="14.25" customHeight="1" x14ac:dyDescent="0.25">
      <c r="A13" s="13"/>
      <c r="B13" s="15">
        <v>45427</v>
      </c>
      <c r="C13" s="31" t="s">
        <v>35</v>
      </c>
      <c r="D13" s="31" t="s">
        <v>40</v>
      </c>
      <c r="E13" s="103">
        <f t="shared" ref="E13:E30" si="6">SUM(F13:I13)</f>
        <v>300</v>
      </c>
      <c r="F13" s="103">
        <v>278</v>
      </c>
      <c r="G13" s="29">
        <v>7</v>
      </c>
      <c r="H13" s="91">
        <v>8</v>
      </c>
      <c r="I13" s="106">
        <v>7</v>
      </c>
      <c r="J13" s="109">
        <f t="shared" ref="J13:J30" si="7">SUM(K13:N13)</f>
        <v>182</v>
      </c>
      <c r="K13" s="91">
        <v>178</v>
      </c>
      <c r="L13" s="91">
        <v>2</v>
      </c>
      <c r="M13" s="29">
        <v>0</v>
      </c>
      <c r="N13" s="49">
        <v>2</v>
      </c>
      <c r="O13" s="65">
        <f t="array" ref="O13">IFERROR(J13/E13,0)</f>
        <v>0.60666666666666669</v>
      </c>
      <c r="P13" s="65">
        <f t="shared" si="2"/>
        <v>0.64028776978417268</v>
      </c>
      <c r="Q13" s="65">
        <f t="shared" si="3"/>
        <v>0.2857142857142857</v>
      </c>
      <c r="R13" s="98">
        <f t="shared" si="4"/>
        <v>0</v>
      </c>
      <c r="S13" s="65">
        <f t="shared" si="5"/>
        <v>0.2857142857142857</v>
      </c>
      <c r="T13" s="101">
        <v>19683</v>
      </c>
      <c r="U13" s="146">
        <v>4.9600000000000002E-4</v>
      </c>
      <c r="V13" s="102">
        <v>0.42200000000000004</v>
      </c>
    </row>
    <row r="14" spans="1:40" ht="14.25" customHeight="1" x14ac:dyDescent="0.25">
      <c r="A14" s="13"/>
      <c r="B14" s="15">
        <v>45427</v>
      </c>
      <c r="C14" s="31" t="s">
        <v>41</v>
      </c>
      <c r="D14" s="29" t="s">
        <v>42</v>
      </c>
      <c r="E14" s="103">
        <f t="shared" si="6"/>
        <v>287</v>
      </c>
      <c r="F14" s="103">
        <v>261</v>
      </c>
      <c r="G14" s="29">
        <v>20</v>
      </c>
      <c r="H14" s="91">
        <v>3</v>
      </c>
      <c r="I14" s="108">
        <v>3</v>
      </c>
      <c r="J14" s="109">
        <f t="shared" si="7"/>
        <v>203</v>
      </c>
      <c r="K14" s="91">
        <v>175</v>
      </c>
      <c r="L14" s="29">
        <v>24</v>
      </c>
      <c r="M14" s="29">
        <v>1</v>
      </c>
      <c r="N14" s="49">
        <v>3</v>
      </c>
      <c r="O14" s="65">
        <f t="array" ref="O14">IFERROR(J14/E14,0)</f>
        <v>0.70731707317073167</v>
      </c>
      <c r="P14" s="65">
        <f t="shared" si="2"/>
        <v>0.67049808429118773</v>
      </c>
      <c r="Q14" s="65">
        <f t="shared" si="3"/>
        <v>1.2</v>
      </c>
      <c r="R14" s="65">
        <f t="shared" si="4"/>
        <v>0.33333333333333331</v>
      </c>
      <c r="S14" s="98">
        <f t="shared" si="5"/>
        <v>1</v>
      </c>
      <c r="T14" s="77">
        <v>7423</v>
      </c>
      <c r="U14" s="122">
        <v>4.0799999999999996E-2</v>
      </c>
      <c r="V14" s="99">
        <v>0.28999999999999998</v>
      </c>
    </row>
    <row r="15" spans="1:40" ht="14.25" customHeight="1" x14ac:dyDescent="0.25">
      <c r="A15" s="13"/>
      <c r="B15" s="15">
        <v>45427</v>
      </c>
      <c r="C15" s="31" t="s">
        <v>41</v>
      </c>
      <c r="D15" s="29" t="s">
        <v>43</v>
      </c>
      <c r="E15" s="103">
        <f t="shared" si="6"/>
        <v>211</v>
      </c>
      <c r="F15" s="103">
        <v>173</v>
      </c>
      <c r="G15" s="29">
        <v>16</v>
      </c>
      <c r="H15" s="29">
        <v>10</v>
      </c>
      <c r="I15" s="108">
        <v>12</v>
      </c>
      <c r="J15" s="109">
        <f t="shared" si="7"/>
        <v>202</v>
      </c>
      <c r="K15" s="29">
        <v>162</v>
      </c>
      <c r="L15" s="29">
        <v>27</v>
      </c>
      <c r="M15" s="29">
        <v>5</v>
      </c>
      <c r="N15" s="49">
        <v>8</v>
      </c>
      <c r="O15" s="65">
        <f t="array" ref="O15">IFERROR(J15/E15,0)</f>
        <v>0.95734597156398105</v>
      </c>
      <c r="P15" s="65">
        <f t="shared" si="2"/>
        <v>0.93641618497109824</v>
      </c>
      <c r="Q15" s="65">
        <f t="shared" si="3"/>
        <v>1.6875</v>
      </c>
      <c r="R15" s="30">
        <f t="shared" si="4"/>
        <v>0.5</v>
      </c>
      <c r="S15" s="65">
        <f t="shared" si="5"/>
        <v>0.66666666666666663</v>
      </c>
      <c r="T15" s="77">
        <v>1888</v>
      </c>
      <c r="U15" s="122">
        <v>3.2899999999999999E-2</v>
      </c>
      <c r="V15" s="99">
        <v>0.28999999999999998</v>
      </c>
    </row>
    <row r="16" spans="1:40" ht="14.25" customHeight="1" x14ac:dyDescent="0.25">
      <c r="A16" s="13"/>
      <c r="B16" s="15">
        <v>45427</v>
      </c>
      <c r="C16" s="31" t="s">
        <v>41</v>
      </c>
      <c r="D16" s="29" t="s">
        <v>44</v>
      </c>
      <c r="E16" s="103">
        <f t="shared" si="6"/>
        <v>233</v>
      </c>
      <c r="F16" s="103">
        <v>138</v>
      </c>
      <c r="G16" s="29">
        <v>76</v>
      </c>
      <c r="H16" s="29">
        <v>5</v>
      </c>
      <c r="I16" s="108">
        <v>14</v>
      </c>
      <c r="J16" s="109">
        <f t="shared" si="7"/>
        <v>161</v>
      </c>
      <c r="K16" s="29">
        <v>68</v>
      </c>
      <c r="L16" s="29">
        <v>80</v>
      </c>
      <c r="M16" s="29">
        <v>7</v>
      </c>
      <c r="N16" s="49">
        <v>6</v>
      </c>
      <c r="O16" s="65">
        <f t="array" ref="O16">IFERROR(J16/E16,0)</f>
        <v>0.69098712446351929</v>
      </c>
      <c r="P16" s="65">
        <f t="shared" si="2"/>
        <v>0.49275362318840582</v>
      </c>
      <c r="Q16" s="65">
        <f t="shared" si="3"/>
        <v>1.0526315789473684</v>
      </c>
      <c r="R16" s="30">
        <f t="shared" si="4"/>
        <v>1.4</v>
      </c>
      <c r="S16" s="65">
        <f t="shared" si="5"/>
        <v>0.42857142857142855</v>
      </c>
      <c r="T16" s="77">
        <v>3291</v>
      </c>
      <c r="U16" s="122">
        <v>9.509999999999999E-2</v>
      </c>
      <c r="V16" s="99">
        <v>0.28999999999999998</v>
      </c>
    </row>
    <row r="17" spans="1:22" ht="14.25" customHeight="1" x14ac:dyDescent="0.25">
      <c r="A17" s="13"/>
      <c r="B17" s="15">
        <v>45427</v>
      </c>
      <c r="C17" s="31" t="s">
        <v>41</v>
      </c>
      <c r="D17" s="31" t="s">
        <v>45</v>
      </c>
      <c r="E17" s="103">
        <f t="shared" si="6"/>
        <v>119</v>
      </c>
      <c r="F17" s="103">
        <v>66</v>
      </c>
      <c r="G17" s="29">
        <v>42</v>
      </c>
      <c r="H17" s="29">
        <v>4</v>
      </c>
      <c r="I17" s="108">
        <v>7</v>
      </c>
      <c r="J17" s="109">
        <f t="shared" si="7"/>
        <v>113</v>
      </c>
      <c r="K17" s="29">
        <v>53</v>
      </c>
      <c r="L17" s="29">
        <v>56</v>
      </c>
      <c r="M17" s="29">
        <v>1</v>
      </c>
      <c r="N17" s="49">
        <v>3</v>
      </c>
      <c r="O17" s="65">
        <f t="array" ref="O17">IFERROR(J17/E17,0)</f>
        <v>0.94957983193277307</v>
      </c>
      <c r="P17" s="65">
        <f t="shared" si="2"/>
        <v>0.80303030303030298</v>
      </c>
      <c r="Q17" s="65">
        <f t="shared" si="3"/>
        <v>1.3333333333333333</v>
      </c>
      <c r="R17" s="65">
        <f t="shared" si="4"/>
        <v>0.25</v>
      </c>
      <c r="S17" s="65">
        <f t="shared" si="5"/>
        <v>0.42857142857142855</v>
      </c>
      <c r="T17" s="77">
        <v>9530</v>
      </c>
      <c r="U17" s="147">
        <v>3.9199999999999999E-2</v>
      </c>
      <c r="V17" s="99">
        <v>0.28999999999999998</v>
      </c>
    </row>
    <row r="18" spans="1:22" ht="14.25" customHeight="1" thickBot="1" x14ac:dyDescent="0.3">
      <c r="A18" s="13"/>
      <c r="B18" s="15">
        <v>45427</v>
      </c>
      <c r="C18" s="31" t="s">
        <v>41</v>
      </c>
      <c r="D18" s="29" t="s">
        <v>46</v>
      </c>
      <c r="E18" s="103">
        <f t="shared" si="6"/>
        <v>331</v>
      </c>
      <c r="F18" s="103">
        <v>308</v>
      </c>
      <c r="G18" s="29">
        <v>18</v>
      </c>
      <c r="H18" s="91">
        <v>1</v>
      </c>
      <c r="I18" s="106">
        <v>4</v>
      </c>
      <c r="J18" s="109">
        <f t="shared" si="7"/>
        <v>716</v>
      </c>
      <c r="K18" s="29">
        <v>696</v>
      </c>
      <c r="L18" s="29">
        <v>18</v>
      </c>
      <c r="M18" s="29">
        <v>2</v>
      </c>
      <c r="N18" s="49">
        <v>0</v>
      </c>
      <c r="O18" s="65">
        <f t="array" ref="O18">IFERROR(J18/E18,0)</f>
        <v>2.1631419939577041</v>
      </c>
      <c r="P18" s="65">
        <f t="shared" si="2"/>
        <v>2.2597402597402598</v>
      </c>
      <c r="Q18" s="65">
        <f t="shared" si="3"/>
        <v>1</v>
      </c>
      <c r="R18" s="98">
        <f t="shared" si="4"/>
        <v>2</v>
      </c>
      <c r="S18" s="98">
        <f t="shared" si="5"/>
        <v>0</v>
      </c>
      <c r="T18" s="77">
        <v>10162</v>
      </c>
      <c r="U18" s="146">
        <v>3.6600000000000001E-2</v>
      </c>
      <c r="V18" s="99">
        <v>0.28999999999999998</v>
      </c>
    </row>
    <row r="19" spans="1:22" ht="14.25" customHeight="1" x14ac:dyDescent="0.25">
      <c r="A19" s="13"/>
      <c r="B19" s="15">
        <v>45428</v>
      </c>
      <c r="C19" s="31" t="s">
        <v>47</v>
      </c>
      <c r="D19" s="29" t="s">
        <v>48</v>
      </c>
      <c r="E19" s="103">
        <f t="shared" si="6"/>
        <v>1855</v>
      </c>
      <c r="F19" s="103">
        <v>1813</v>
      </c>
      <c r="G19" s="29">
        <v>13</v>
      </c>
      <c r="H19" s="91">
        <v>14</v>
      </c>
      <c r="I19" s="106">
        <v>15</v>
      </c>
      <c r="J19" s="145">
        <f t="shared" si="7"/>
        <v>1408</v>
      </c>
      <c r="K19" s="29">
        <v>1390</v>
      </c>
      <c r="L19" s="29">
        <v>8</v>
      </c>
      <c r="M19" s="29">
        <v>5</v>
      </c>
      <c r="N19" s="49">
        <v>5</v>
      </c>
      <c r="O19" s="65">
        <f t="array" ref="O19">IFERROR(J19/E19,0)</f>
        <v>0.75902964959568731</v>
      </c>
      <c r="P19" s="65">
        <f t="shared" si="2"/>
        <v>0.76668505239933815</v>
      </c>
      <c r="Q19" s="65">
        <f t="shared" si="3"/>
        <v>0.61538461538461542</v>
      </c>
      <c r="R19" s="65">
        <f t="shared" si="4"/>
        <v>0.35714285714285715</v>
      </c>
      <c r="S19" s="65">
        <f t="shared" si="5"/>
        <v>0.33333333333333331</v>
      </c>
      <c r="T19" s="80">
        <v>74131</v>
      </c>
      <c r="U19" s="124">
        <v>2.3300000000000001E-2</v>
      </c>
      <c r="V19" s="100">
        <v>0.44700000000000001</v>
      </c>
    </row>
    <row r="20" spans="1:22" ht="14.25" customHeight="1" x14ac:dyDescent="0.25">
      <c r="A20" s="13"/>
      <c r="B20" s="15">
        <v>45428</v>
      </c>
      <c r="C20" s="31" t="s">
        <v>47</v>
      </c>
      <c r="D20" s="29" t="s">
        <v>47</v>
      </c>
      <c r="E20" s="103">
        <f t="shared" si="6"/>
        <v>107</v>
      </c>
      <c r="F20" s="103">
        <v>76</v>
      </c>
      <c r="G20" s="29">
        <v>18</v>
      </c>
      <c r="H20" s="29">
        <v>7</v>
      </c>
      <c r="I20" s="106">
        <v>6</v>
      </c>
      <c r="J20" s="145">
        <f t="shared" si="7"/>
        <v>76</v>
      </c>
      <c r="K20" s="29">
        <v>54</v>
      </c>
      <c r="L20" s="29">
        <v>6</v>
      </c>
      <c r="M20" s="29">
        <v>8</v>
      </c>
      <c r="N20" s="49">
        <v>8</v>
      </c>
      <c r="O20" s="65">
        <f t="array" ref="O20">IFERROR(J20/E20,0)</f>
        <v>0.71028037383177567</v>
      </c>
      <c r="P20" s="65">
        <f t="shared" si="2"/>
        <v>0.71052631578947367</v>
      </c>
      <c r="Q20" s="65">
        <f t="shared" si="3"/>
        <v>0.33333333333333331</v>
      </c>
      <c r="R20" s="65">
        <f t="shared" si="4"/>
        <v>1.1428571428571428</v>
      </c>
      <c r="S20" s="65">
        <f t="shared" si="5"/>
        <v>1.3333333333333333</v>
      </c>
      <c r="T20" s="77">
        <v>53786</v>
      </c>
      <c r="U20" s="122">
        <v>6.0299999999999999E-2</v>
      </c>
      <c r="V20" s="99">
        <v>0.44600000000000001</v>
      </c>
    </row>
    <row r="21" spans="1:22" ht="14.25" customHeight="1" x14ac:dyDescent="0.25">
      <c r="A21" s="13"/>
      <c r="B21" s="15">
        <v>45428</v>
      </c>
      <c r="C21" s="31" t="s">
        <v>47</v>
      </c>
      <c r="D21" s="29" t="s">
        <v>40</v>
      </c>
      <c r="E21" s="103">
        <f t="shared" si="6"/>
        <v>299</v>
      </c>
      <c r="F21" s="103">
        <v>278</v>
      </c>
      <c r="G21" s="29">
        <v>7</v>
      </c>
      <c r="H21" s="29">
        <v>8</v>
      </c>
      <c r="I21" s="106">
        <v>6</v>
      </c>
      <c r="J21" s="103">
        <f t="shared" si="7"/>
        <v>182</v>
      </c>
      <c r="K21" s="29">
        <v>178</v>
      </c>
      <c r="L21" s="29">
        <v>2</v>
      </c>
      <c r="M21" s="29">
        <v>0</v>
      </c>
      <c r="N21" s="49">
        <v>2</v>
      </c>
      <c r="O21" s="65">
        <f t="array" ref="O21">IFERROR(J21/E21,0)</f>
        <v>0.60869565217391308</v>
      </c>
      <c r="P21" s="65">
        <f t="shared" si="2"/>
        <v>0.64028776978417268</v>
      </c>
      <c r="Q21" s="65">
        <f t="shared" si="3"/>
        <v>0.2857142857142857</v>
      </c>
      <c r="R21" s="98">
        <f t="shared" si="4"/>
        <v>0</v>
      </c>
      <c r="S21" s="65">
        <f t="shared" si="5"/>
        <v>0.33333333333333331</v>
      </c>
      <c r="T21" s="77">
        <v>19683</v>
      </c>
      <c r="U21" s="122">
        <v>4.9599999999999998E-2</v>
      </c>
      <c r="V21" s="99">
        <v>0.42200000000000004</v>
      </c>
    </row>
    <row r="22" spans="1:22" ht="14.25" customHeight="1" x14ac:dyDescent="0.25">
      <c r="A22" s="13"/>
      <c r="B22" s="15">
        <v>45428</v>
      </c>
      <c r="C22" s="31" t="s">
        <v>47</v>
      </c>
      <c r="D22" s="31" t="s">
        <v>49</v>
      </c>
      <c r="E22" s="103">
        <f t="shared" si="6"/>
        <v>30</v>
      </c>
      <c r="F22" s="103">
        <v>25</v>
      </c>
      <c r="G22" s="29">
        <v>5</v>
      </c>
      <c r="H22" s="29">
        <v>0</v>
      </c>
      <c r="I22" s="106">
        <v>0</v>
      </c>
      <c r="J22" s="145">
        <f t="shared" si="7"/>
        <v>18</v>
      </c>
      <c r="K22" s="29">
        <v>16</v>
      </c>
      <c r="L22" s="29">
        <v>0</v>
      </c>
      <c r="M22" s="29">
        <v>1</v>
      </c>
      <c r="N22" s="49">
        <v>1</v>
      </c>
      <c r="O22" s="65">
        <f t="array" ref="O22">IFERROR(J22/E22,0)</f>
        <v>0.6</v>
      </c>
      <c r="P22" s="65">
        <f t="shared" si="2"/>
        <v>0.64</v>
      </c>
      <c r="Q22" s="98">
        <f t="shared" si="3"/>
        <v>0</v>
      </c>
      <c r="R22" s="98">
        <f t="shared" si="4"/>
        <v>0</v>
      </c>
      <c r="S22" s="98">
        <f t="shared" si="5"/>
        <v>0</v>
      </c>
      <c r="T22" s="77">
        <v>3481</v>
      </c>
      <c r="U22" s="122">
        <v>4.65E-2</v>
      </c>
      <c r="V22" s="99">
        <v>0.42200000000000004</v>
      </c>
    </row>
    <row r="23" spans="1:22" ht="14.25" customHeight="1" thickBot="1" x14ac:dyDescent="0.3">
      <c r="A23" s="13"/>
      <c r="B23" s="15">
        <v>45428</v>
      </c>
      <c r="C23" s="31" t="s">
        <v>47</v>
      </c>
      <c r="D23" s="29" t="s">
        <v>50</v>
      </c>
      <c r="E23" s="103">
        <f t="shared" si="6"/>
        <v>72</v>
      </c>
      <c r="F23" s="103">
        <v>56</v>
      </c>
      <c r="G23" s="29">
        <v>5</v>
      </c>
      <c r="H23" s="91">
        <v>3</v>
      </c>
      <c r="I23" s="106">
        <v>8</v>
      </c>
      <c r="J23" s="103">
        <f t="shared" si="7"/>
        <v>54</v>
      </c>
      <c r="K23" s="29">
        <v>44</v>
      </c>
      <c r="L23" s="29">
        <v>0</v>
      </c>
      <c r="M23" s="29">
        <v>2</v>
      </c>
      <c r="N23" s="49">
        <v>8</v>
      </c>
      <c r="O23" s="65">
        <f t="array" ref="O23">IFERROR(J23/E23,0)</f>
        <v>0.75</v>
      </c>
      <c r="P23" s="65">
        <f t="shared" si="2"/>
        <v>0.7857142857142857</v>
      </c>
      <c r="Q23" s="98">
        <f t="shared" si="3"/>
        <v>0</v>
      </c>
      <c r="R23" s="65">
        <f t="shared" si="4"/>
        <v>0.66666666666666663</v>
      </c>
      <c r="S23" s="98">
        <f t="shared" si="5"/>
        <v>1</v>
      </c>
      <c r="T23" s="77">
        <v>24876</v>
      </c>
      <c r="U23" s="122">
        <v>2.7600000000000003E-2</v>
      </c>
      <c r="V23" s="99">
        <v>0.42200000000000004</v>
      </c>
    </row>
    <row r="24" spans="1:22" ht="14.25" customHeight="1" x14ac:dyDescent="0.25">
      <c r="A24" s="13"/>
      <c r="B24" s="15">
        <v>45428</v>
      </c>
      <c r="C24" s="31" t="s">
        <v>45</v>
      </c>
      <c r="D24" s="29" t="s">
        <v>51</v>
      </c>
      <c r="E24" s="103">
        <f t="shared" si="6"/>
        <v>392</v>
      </c>
      <c r="F24" s="103">
        <v>235</v>
      </c>
      <c r="G24" s="29">
        <v>79</v>
      </c>
      <c r="H24" s="91">
        <v>27</v>
      </c>
      <c r="I24" s="106">
        <v>51</v>
      </c>
      <c r="J24" s="145">
        <f t="shared" si="7"/>
        <v>232</v>
      </c>
      <c r="K24" s="29">
        <v>163</v>
      </c>
      <c r="L24" s="29">
        <v>39</v>
      </c>
      <c r="M24" s="29">
        <v>12</v>
      </c>
      <c r="N24" s="49">
        <v>18</v>
      </c>
      <c r="O24" s="65">
        <f t="array" ref="O24">IFERROR(J24/E24,0)</f>
        <v>0.59183673469387754</v>
      </c>
      <c r="P24" s="65">
        <f t="shared" si="2"/>
        <v>0.69361702127659575</v>
      </c>
      <c r="Q24" s="65">
        <f t="shared" si="3"/>
        <v>0.49367088607594939</v>
      </c>
      <c r="R24" s="65">
        <f t="shared" si="4"/>
        <v>0.44444444444444442</v>
      </c>
      <c r="S24" s="65">
        <f t="shared" si="5"/>
        <v>0.35294117647058826</v>
      </c>
      <c r="T24" s="80">
        <v>8735</v>
      </c>
      <c r="U24" s="124">
        <v>5.4600000000000003E-2</v>
      </c>
      <c r="V24" s="100">
        <v>0.42399999999999999</v>
      </c>
    </row>
    <row r="25" spans="1:22" ht="14.25" customHeight="1" x14ac:dyDescent="0.25">
      <c r="A25" s="13"/>
      <c r="B25" s="15">
        <v>45428</v>
      </c>
      <c r="C25" s="31" t="s">
        <v>45</v>
      </c>
      <c r="D25" s="29" t="s">
        <v>52</v>
      </c>
      <c r="E25" s="103">
        <f t="shared" si="6"/>
        <v>1</v>
      </c>
      <c r="F25" s="110">
        <v>0</v>
      </c>
      <c r="G25" s="29">
        <v>1</v>
      </c>
      <c r="H25" s="29">
        <v>0</v>
      </c>
      <c r="I25" s="106">
        <v>0</v>
      </c>
      <c r="J25" s="145">
        <f t="shared" si="7"/>
        <v>3</v>
      </c>
      <c r="K25" s="29">
        <v>3</v>
      </c>
      <c r="L25" s="29">
        <v>0</v>
      </c>
      <c r="M25" s="29">
        <v>0</v>
      </c>
      <c r="N25" s="49">
        <v>0</v>
      </c>
      <c r="O25" s="65">
        <f t="array" ref="O25">IFERROR(J25/E25,0)</f>
        <v>3</v>
      </c>
      <c r="P25" s="65">
        <f t="shared" si="2"/>
        <v>0</v>
      </c>
      <c r="Q25" s="65">
        <f t="shared" si="3"/>
        <v>0</v>
      </c>
      <c r="R25" s="98">
        <f t="shared" si="4"/>
        <v>0</v>
      </c>
      <c r="S25" s="98">
        <f t="shared" si="5"/>
        <v>0</v>
      </c>
      <c r="T25" s="79">
        <v>877</v>
      </c>
      <c r="U25" s="122">
        <v>3.5400000000000001E-2</v>
      </c>
      <c r="V25" s="99">
        <v>0.30459999999999998</v>
      </c>
    </row>
    <row r="26" spans="1:22" ht="14.25" customHeight="1" x14ac:dyDescent="0.25">
      <c r="A26" s="13"/>
      <c r="B26" s="15">
        <v>45428</v>
      </c>
      <c r="C26" s="31" t="s">
        <v>45</v>
      </c>
      <c r="D26" s="29" t="s">
        <v>53</v>
      </c>
      <c r="E26" s="103">
        <f t="shared" si="6"/>
        <v>262</v>
      </c>
      <c r="F26" s="103">
        <v>196</v>
      </c>
      <c r="G26" s="29">
        <v>31</v>
      </c>
      <c r="H26" s="29">
        <v>18</v>
      </c>
      <c r="I26" s="106">
        <v>17</v>
      </c>
      <c r="J26" s="145">
        <f t="shared" si="7"/>
        <v>244</v>
      </c>
      <c r="K26" s="29">
        <v>204</v>
      </c>
      <c r="L26" s="29">
        <v>28</v>
      </c>
      <c r="M26" s="29">
        <v>8</v>
      </c>
      <c r="N26" s="49">
        <v>4</v>
      </c>
      <c r="O26" s="65">
        <f t="array" ref="O26">IFERROR(J26/E26,0)</f>
        <v>0.93129770992366412</v>
      </c>
      <c r="P26" s="65">
        <f t="shared" si="2"/>
        <v>1.0408163265306123</v>
      </c>
      <c r="Q26" s="65">
        <f t="shared" si="3"/>
        <v>0.90322580645161288</v>
      </c>
      <c r="R26" s="65">
        <f t="shared" si="4"/>
        <v>0.44444444444444442</v>
      </c>
      <c r="S26" s="65">
        <f t="shared" si="5"/>
        <v>0.23529411764705882</v>
      </c>
      <c r="T26" s="79">
        <v>63</v>
      </c>
      <c r="U26" s="122">
        <v>3.5200000000000002E-2</v>
      </c>
      <c r="V26" s="99">
        <v>0.43200000000000005</v>
      </c>
    </row>
    <row r="27" spans="1:22" ht="14.25" customHeight="1" x14ac:dyDescent="0.25">
      <c r="A27" s="13"/>
      <c r="B27" s="15">
        <v>45428</v>
      </c>
      <c r="C27" s="31" t="s">
        <v>45</v>
      </c>
      <c r="D27" s="31" t="s">
        <v>54</v>
      </c>
      <c r="E27" s="103">
        <f t="shared" si="6"/>
        <v>74</v>
      </c>
      <c r="F27" s="103">
        <v>73</v>
      </c>
      <c r="G27" s="29">
        <v>1</v>
      </c>
      <c r="H27" s="29">
        <v>0</v>
      </c>
      <c r="I27" s="106">
        <v>0</v>
      </c>
      <c r="J27" s="103">
        <f t="shared" si="7"/>
        <v>38</v>
      </c>
      <c r="K27" s="29">
        <v>38</v>
      </c>
      <c r="L27" s="29">
        <v>0</v>
      </c>
      <c r="M27" s="29">
        <v>0</v>
      </c>
      <c r="N27" s="49">
        <v>0</v>
      </c>
      <c r="O27" s="65">
        <f t="array" ref="O27">IFERROR(J27/E27,0)</f>
        <v>0.51351351351351349</v>
      </c>
      <c r="P27" s="65">
        <f t="shared" si="2"/>
        <v>0.52054794520547942</v>
      </c>
      <c r="Q27" s="98">
        <f t="shared" si="3"/>
        <v>0</v>
      </c>
      <c r="R27" s="98">
        <f t="shared" si="4"/>
        <v>0</v>
      </c>
      <c r="S27" s="98">
        <f t="shared" si="5"/>
        <v>0</v>
      </c>
      <c r="T27" s="77">
        <v>9530</v>
      </c>
      <c r="U27" s="122">
        <v>3.9199999999999999E-2</v>
      </c>
      <c r="V27" s="99">
        <v>0.28999999999999998</v>
      </c>
    </row>
    <row r="28" spans="1:22" ht="14.25" customHeight="1" thickBot="1" x14ac:dyDescent="0.3">
      <c r="A28" s="13"/>
      <c r="B28" s="15">
        <v>45428</v>
      </c>
      <c r="C28" s="31" t="s">
        <v>45</v>
      </c>
      <c r="D28" s="29" t="s">
        <v>55</v>
      </c>
      <c r="E28" s="103">
        <f t="shared" si="6"/>
        <v>138</v>
      </c>
      <c r="F28" s="103">
        <v>70</v>
      </c>
      <c r="G28" s="29">
        <v>55</v>
      </c>
      <c r="H28" s="29">
        <v>3</v>
      </c>
      <c r="I28" s="106">
        <v>10</v>
      </c>
      <c r="J28" s="145">
        <f t="shared" si="7"/>
        <v>119</v>
      </c>
      <c r="K28" s="29">
        <v>51</v>
      </c>
      <c r="L28" s="29">
        <v>57</v>
      </c>
      <c r="M28" s="29">
        <v>3</v>
      </c>
      <c r="N28" s="49">
        <v>8</v>
      </c>
      <c r="O28" s="65">
        <f t="array" ref="O28">IFERROR(J28/E28,0)</f>
        <v>0.8623188405797102</v>
      </c>
      <c r="P28" s="65">
        <f t="shared" si="2"/>
        <v>0.72857142857142854</v>
      </c>
      <c r="Q28" s="65">
        <f t="shared" si="3"/>
        <v>1.0363636363636364</v>
      </c>
      <c r="R28" s="98">
        <f t="shared" si="4"/>
        <v>1</v>
      </c>
      <c r="S28" s="65">
        <f t="shared" si="5"/>
        <v>0.8</v>
      </c>
      <c r="T28" s="77">
        <v>1025</v>
      </c>
      <c r="U28" s="122">
        <v>3.5900000000000001E-2</v>
      </c>
      <c r="V28" s="99">
        <v>0.42899999999999999</v>
      </c>
    </row>
    <row r="29" spans="1:22" ht="14.25" customHeight="1" x14ac:dyDescent="0.25">
      <c r="A29" s="13"/>
      <c r="B29" s="15">
        <v>45428</v>
      </c>
      <c r="C29" s="31" t="s">
        <v>56</v>
      </c>
      <c r="D29" s="29" t="s">
        <v>57</v>
      </c>
      <c r="E29" s="103">
        <f t="shared" si="6"/>
        <v>673</v>
      </c>
      <c r="F29" s="103">
        <v>488</v>
      </c>
      <c r="G29" s="29">
        <v>80</v>
      </c>
      <c r="H29" s="29">
        <v>27</v>
      </c>
      <c r="I29" s="106">
        <v>78</v>
      </c>
      <c r="J29" s="103">
        <f t="shared" si="7"/>
        <v>930</v>
      </c>
      <c r="K29" s="29">
        <v>806</v>
      </c>
      <c r="L29" s="29">
        <v>79</v>
      </c>
      <c r="M29" s="29">
        <v>18</v>
      </c>
      <c r="N29" s="29">
        <v>27</v>
      </c>
      <c r="O29" s="65">
        <f t="array" ref="O29">IFERROR(J29/E29,0)</f>
        <v>1.3818722139673105</v>
      </c>
      <c r="P29" s="65">
        <f t="shared" si="2"/>
        <v>1.651639344262295</v>
      </c>
      <c r="Q29" s="65">
        <f t="shared" si="3"/>
        <v>0.98750000000000004</v>
      </c>
      <c r="R29" s="65">
        <f t="shared" si="4"/>
        <v>0.66666666666666663</v>
      </c>
      <c r="S29" s="65">
        <f t="shared" si="5"/>
        <v>0.34615384615384615</v>
      </c>
      <c r="T29" s="80">
        <v>62351</v>
      </c>
      <c r="U29" s="124">
        <v>7.2400000000000006E-2</v>
      </c>
      <c r="V29" s="100">
        <v>0.376</v>
      </c>
    </row>
    <row r="30" spans="1:22" ht="14.25" customHeight="1" x14ac:dyDescent="0.25">
      <c r="A30" s="13"/>
      <c r="B30" s="15">
        <v>45428</v>
      </c>
      <c r="C30" s="31" t="s">
        <v>56</v>
      </c>
      <c r="D30" s="29" t="s">
        <v>58</v>
      </c>
      <c r="E30" s="103">
        <f t="shared" si="6"/>
        <v>807</v>
      </c>
      <c r="F30" s="103">
        <v>645</v>
      </c>
      <c r="G30" s="29">
        <v>122</v>
      </c>
      <c r="H30" s="29">
        <v>10</v>
      </c>
      <c r="I30" s="106">
        <v>30</v>
      </c>
      <c r="J30" s="103">
        <f t="shared" si="7"/>
        <v>1207</v>
      </c>
      <c r="K30" s="29">
        <v>1015</v>
      </c>
      <c r="L30" s="29">
        <v>160</v>
      </c>
      <c r="M30" s="29">
        <v>12</v>
      </c>
      <c r="N30" s="29">
        <v>20</v>
      </c>
      <c r="O30" s="65">
        <f t="array" ref="O30">IFERROR(J30/E30,0)</f>
        <v>1.4956629491945477</v>
      </c>
      <c r="P30" s="65">
        <f t="shared" si="2"/>
        <v>1.5736434108527131</v>
      </c>
      <c r="Q30" s="65">
        <f t="shared" si="3"/>
        <v>1.3114754098360655</v>
      </c>
      <c r="R30" s="30">
        <f t="shared" si="4"/>
        <v>1.2</v>
      </c>
      <c r="S30" s="65">
        <f t="shared" si="5"/>
        <v>0.66666666666666663</v>
      </c>
      <c r="T30" s="77">
        <v>2262</v>
      </c>
      <c r="U30" s="122">
        <v>7.4400000000000008E-2</v>
      </c>
      <c r="V30" s="99">
        <v>0.371</v>
      </c>
    </row>
    <row r="31" spans="1:22" ht="14.25" customHeight="1" x14ac:dyDescent="0.25">
      <c r="A31" s="13"/>
      <c r="B31" s="15">
        <v>45428</v>
      </c>
      <c r="C31" s="31" t="s">
        <v>56</v>
      </c>
      <c r="D31" s="29" t="s">
        <v>59</v>
      </c>
      <c r="E31" s="110">
        <v>0</v>
      </c>
      <c r="F31" s="110">
        <v>0</v>
      </c>
      <c r="G31" s="110">
        <v>0</v>
      </c>
      <c r="H31" s="110">
        <v>0</v>
      </c>
      <c r="I31" s="148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65">
        <f t="array" ref="O31">IFERROR(J31/E31,0)</f>
        <v>0</v>
      </c>
      <c r="P31" s="65">
        <f t="shared" si="2"/>
        <v>0</v>
      </c>
      <c r="Q31" s="98">
        <f t="shared" si="3"/>
        <v>0</v>
      </c>
      <c r="R31" s="98">
        <f t="shared" si="4"/>
        <v>0</v>
      </c>
      <c r="S31" s="98">
        <f t="shared" si="5"/>
        <v>0</v>
      </c>
      <c r="T31" s="79"/>
      <c r="U31" s="96">
        <v>0</v>
      </c>
      <c r="V31" s="99">
        <v>0</v>
      </c>
    </row>
    <row r="32" spans="1:22" ht="14.25" customHeight="1" x14ac:dyDescent="0.25">
      <c r="A32" s="13"/>
      <c r="B32" s="15">
        <v>45429</v>
      </c>
      <c r="C32" s="31" t="s">
        <v>56</v>
      </c>
      <c r="D32" s="31" t="s">
        <v>60</v>
      </c>
      <c r="E32" s="103">
        <f t="shared" ref="E32:E45" si="8">SUM(F32:I32)</f>
        <v>9</v>
      </c>
      <c r="F32" s="103">
        <v>5</v>
      </c>
      <c r="G32" s="29">
        <v>0</v>
      </c>
      <c r="H32" s="29">
        <v>1</v>
      </c>
      <c r="I32" s="106">
        <v>3</v>
      </c>
      <c r="J32" s="145">
        <f t="shared" ref="J32:J53" si="9">SUM(K32:N32)</f>
        <v>1</v>
      </c>
      <c r="K32" s="29">
        <v>0</v>
      </c>
      <c r="L32" s="29">
        <v>1</v>
      </c>
      <c r="M32" s="29">
        <v>0</v>
      </c>
      <c r="N32" s="29">
        <v>0</v>
      </c>
      <c r="O32" s="65">
        <f t="array" ref="O32">IFERROR(J32/E32,0)</f>
        <v>0.1111111111111111</v>
      </c>
      <c r="P32" s="65">
        <f t="shared" si="2"/>
        <v>0</v>
      </c>
      <c r="Q32" s="98">
        <f t="shared" si="3"/>
        <v>0</v>
      </c>
      <c r="R32" s="98">
        <f t="shared" si="4"/>
        <v>0</v>
      </c>
      <c r="S32" s="98">
        <f t="shared" si="5"/>
        <v>0</v>
      </c>
      <c r="T32" s="77">
        <v>1874</v>
      </c>
      <c r="U32" s="122">
        <v>3.44E-2</v>
      </c>
      <c r="V32" s="99">
        <v>0</v>
      </c>
    </row>
    <row r="33" spans="1:22" ht="14.25" customHeight="1" thickBot="1" x14ac:dyDescent="0.3">
      <c r="A33" s="13"/>
      <c r="B33" s="15">
        <v>45429</v>
      </c>
      <c r="C33" s="31" t="s">
        <v>56</v>
      </c>
      <c r="D33" s="29" t="s">
        <v>62</v>
      </c>
      <c r="E33" s="103">
        <f t="shared" si="8"/>
        <v>28</v>
      </c>
      <c r="F33" s="103">
        <v>20</v>
      </c>
      <c r="G33" s="29">
        <v>0</v>
      </c>
      <c r="H33" s="91">
        <v>2</v>
      </c>
      <c r="I33" s="106">
        <v>6</v>
      </c>
      <c r="J33" s="103">
        <f t="shared" si="9"/>
        <v>4</v>
      </c>
      <c r="K33" s="29">
        <v>4</v>
      </c>
      <c r="L33" s="29">
        <v>0</v>
      </c>
      <c r="M33" s="29">
        <v>0</v>
      </c>
      <c r="N33" s="29">
        <v>0</v>
      </c>
      <c r="O33" s="65">
        <f t="array" ref="O33">IFERROR(J33/E33,0)</f>
        <v>0.14285714285714285</v>
      </c>
      <c r="P33" s="65">
        <f t="shared" si="2"/>
        <v>0.2</v>
      </c>
      <c r="Q33" s="98">
        <f t="shared" si="3"/>
        <v>0</v>
      </c>
      <c r="R33" s="98">
        <f t="shared" si="4"/>
        <v>0</v>
      </c>
      <c r="S33" s="98">
        <f t="shared" si="5"/>
        <v>0</v>
      </c>
      <c r="T33" s="79"/>
      <c r="U33" s="125">
        <v>0</v>
      </c>
      <c r="V33" s="99">
        <v>0</v>
      </c>
    </row>
    <row r="34" spans="1:22" ht="14.25" customHeight="1" x14ac:dyDescent="0.25">
      <c r="A34" s="13"/>
      <c r="B34" s="15">
        <v>45429</v>
      </c>
      <c r="C34" s="31" t="s">
        <v>63</v>
      </c>
      <c r="D34" s="29" t="s">
        <v>64</v>
      </c>
      <c r="E34" s="103">
        <f t="shared" si="8"/>
        <v>81</v>
      </c>
      <c r="F34" s="103">
        <v>37</v>
      </c>
      <c r="G34" s="29">
        <v>21</v>
      </c>
      <c r="H34" s="91">
        <v>8</v>
      </c>
      <c r="I34" s="106">
        <v>15</v>
      </c>
      <c r="J34" s="145">
        <f t="shared" si="9"/>
        <v>107</v>
      </c>
      <c r="K34" s="29">
        <v>68</v>
      </c>
      <c r="L34" s="29">
        <v>12</v>
      </c>
      <c r="M34" s="29">
        <v>13</v>
      </c>
      <c r="N34" s="29">
        <v>14</v>
      </c>
      <c r="O34" s="65">
        <f t="array" ref="O34">IFERROR(J34/E34,0)</f>
        <v>1.3209876543209877</v>
      </c>
      <c r="P34" s="65">
        <f t="shared" si="2"/>
        <v>1.8378378378378379</v>
      </c>
      <c r="Q34" s="65">
        <f t="shared" si="3"/>
        <v>0.5714285714285714</v>
      </c>
      <c r="R34" s="65">
        <f t="shared" si="4"/>
        <v>1.625</v>
      </c>
      <c r="S34" s="65">
        <f t="shared" si="5"/>
        <v>0.93333333333333335</v>
      </c>
      <c r="T34" s="80">
        <v>110401</v>
      </c>
      <c r="U34" s="124">
        <v>6.6700000000000009E-2</v>
      </c>
      <c r="V34" s="100">
        <v>0.42499999999999999</v>
      </c>
    </row>
    <row r="35" spans="1:22" ht="14.25" customHeight="1" x14ac:dyDescent="0.25">
      <c r="A35" s="13"/>
      <c r="B35" s="15">
        <v>45429</v>
      </c>
      <c r="C35" s="31" t="s">
        <v>63</v>
      </c>
      <c r="D35" s="29" t="s">
        <v>65</v>
      </c>
      <c r="E35" s="103">
        <f t="shared" si="8"/>
        <v>55</v>
      </c>
      <c r="F35" s="103">
        <v>18</v>
      </c>
      <c r="G35" s="29">
        <v>20</v>
      </c>
      <c r="H35" s="29">
        <v>6</v>
      </c>
      <c r="I35" s="106">
        <v>11</v>
      </c>
      <c r="J35" s="103">
        <f t="shared" si="9"/>
        <v>67</v>
      </c>
      <c r="K35" s="29">
        <v>54</v>
      </c>
      <c r="L35" s="29">
        <v>6</v>
      </c>
      <c r="M35" s="29">
        <v>2</v>
      </c>
      <c r="N35" s="29">
        <v>5</v>
      </c>
      <c r="O35" s="65">
        <f t="array" ref="O35">IFERROR(J35/E35,0)</f>
        <v>1.2181818181818183</v>
      </c>
      <c r="P35" s="65">
        <f t="shared" si="2"/>
        <v>3</v>
      </c>
      <c r="Q35" s="65">
        <f t="shared" si="3"/>
        <v>0.3</v>
      </c>
      <c r="R35" s="65">
        <f t="shared" si="4"/>
        <v>0.33333333333333331</v>
      </c>
      <c r="S35" s="65">
        <f t="shared" si="5"/>
        <v>0.45454545454545453</v>
      </c>
      <c r="T35" s="77">
        <v>9049</v>
      </c>
      <c r="U35" s="146">
        <v>2.8899999999999999E-2</v>
      </c>
      <c r="V35" s="99">
        <v>0.43700000000000006</v>
      </c>
    </row>
    <row r="36" spans="1:22" ht="14.25" customHeight="1" x14ac:dyDescent="0.25">
      <c r="A36" s="13"/>
      <c r="B36" s="15">
        <v>45429</v>
      </c>
      <c r="C36" s="31" t="s">
        <v>63</v>
      </c>
      <c r="D36" s="29" t="s">
        <v>66</v>
      </c>
      <c r="E36" s="103">
        <f t="shared" si="8"/>
        <v>46</v>
      </c>
      <c r="F36" s="103">
        <v>21</v>
      </c>
      <c r="G36" s="29">
        <v>9</v>
      </c>
      <c r="H36" s="29">
        <v>1</v>
      </c>
      <c r="I36" s="106">
        <v>15</v>
      </c>
      <c r="J36" s="103">
        <f t="shared" si="9"/>
        <v>72</v>
      </c>
      <c r="K36" s="29">
        <v>58</v>
      </c>
      <c r="L36" s="29">
        <v>5</v>
      </c>
      <c r="M36" s="29">
        <v>3</v>
      </c>
      <c r="N36" s="29">
        <v>6</v>
      </c>
      <c r="O36" s="65">
        <f t="array" ref="O36">IFERROR(J36/E36,0)</f>
        <v>1.5652173913043479</v>
      </c>
      <c r="P36" s="65">
        <f t="shared" ref="P36:P53" si="10">IFERROR(K36/F36,0)</f>
        <v>2.7619047619047619</v>
      </c>
      <c r="Q36" s="65">
        <f t="shared" ref="Q36:Q53" si="11">IFERROR(L36/G36,0)</f>
        <v>0.55555555555555558</v>
      </c>
      <c r="R36" s="98">
        <f t="shared" ref="R36:R53" si="12">IFERROR(M36/H36,0)</f>
        <v>3</v>
      </c>
      <c r="S36" s="65">
        <f t="shared" ref="S36:S53" si="13">IFERROR(N36/I36,0)</f>
        <v>0.4</v>
      </c>
      <c r="T36" s="77">
        <v>26510</v>
      </c>
      <c r="U36" s="146">
        <v>3.6999999999999998E-2</v>
      </c>
      <c r="V36" s="99">
        <v>0.43700000000000006</v>
      </c>
    </row>
    <row r="37" spans="1:22" ht="14.25" customHeight="1" x14ac:dyDescent="0.25">
      <c r="A37" s="13"/>
      <c r="B37" s="15">
        <v>45429</v>
      </c>
      <c r="C37" s="31" t="s">
        <v>63</v>
      </c>
      <c r="D37" s="31" t="s">
        <v>67</v>
      </c>
      <c r="E37" s="103">
        <f t="shared" si="8"/>
        <v>273</v>
      </c>
      <c r="F37" s="103">
        <v>170</v>
      </c>
      <c r="G37" s="29">
        <v>61</v>
      </c>
      <c r="H37" s="29">
        <v>7</v>
      </c>
      <c r="I37" s="106">
        <v>35</v>
      </c>
      <c r="J37" s="103">
        <f t="shared" si="9"/>
        <v>225</v>
      </c>
      <c r="K37" s="29">
        <v>162</v>
      </c>
      <c r="L37" s="29">
        <v>44</v>
      </c>
      <c r="M37" s="29">
        <v>2</v>
      </c>
      <c r="N37" s="29">
        <v>17</v>
      </c>
      <c r="O37" s="65">
        <f t="array" ref="O37">IFERROR(J37/E37,0)</f>
        <v>0.82417582417582413</v>
      </c>
      <c r="P37" s="65">
        <f t="shared" si="10"/>
        <v>0.95294117647058818</v>
      </c>
      <c r="Q37" s="65">
        <f t="shared" si="11"/>
        <v>0.72131147540983609</v>
      </c>
      <c r="R37" s="65">
        <f t="shared" si="12"/>
        <v>0.2857142857142857</v>
      </c>
      <c r="S37" s="65">
        <f t="shared" si="13"/>
        <v>0.48571428571428571</v>
      </c>
      <c r="T37" s="77">
        <v>16173</v>
      </c>
      <c r="U37" s="122">
        <v>5.11E-2</v>
      </c>
      <c r="V37" s="99">
        <v>0.43700000000000006</v>
      </c>
    </row>
    <row r="38" spans="1:22" ht="14.25" customHeight="1" thickBot="1" x14ac:dyDescent="0.3">
      <c r="A38" s="13"/>
      <c r="B38" s="15">
        <v>45429</v>
      </c>
      <c r="C38" s="31" t="s">
        <v>63</v>
      </c>
      <c r="D38" s="29" t="s">
        <v>68</v>
      </c>
      <c r="E38" s="103">
        <f t="shared" si="8"/>
        <v>75</v>
      </c>
      <c r="F38" s="103">
        <v>67</v>
      </c>
      <c r="G38" s="29">
        <v>4</v>
      </c>
      <c r="H38" s="29">
        <v>3</v>
      </c>
      <c r="I38" s="106">
        <v>1</v>
      </c>
      <c r="J38" s="103">
        <f t="shared" si="9"/>
        <v>38</v>
      </c>
      <c r="K38" s="29">
        <v>33</v>
      </c>
      <c r="L38" s="29">
        <v>2</v>
      </c>
      <c r="M38" s="29">
        <v>1</v>
      </c>
      <c r="N38" s="29">
        <v>2</v>
      </c>
      <c r="O38" s="65">
        <f t="array" ref="O38">IFERROR(J38/E38,0)</f>
        <v>0.50666666666666671</v>
      </c>
      <c r="P38" s="65">
        <f t="shared" si="10"/>
        <v>0.4925373134328358</v>
      </c>
      <c r="Q38" s="65">
        <f t="shared" si="11"/>
        <v>0.5</v>
      </c>
      <c r="R38" s="65">
        <f t="shared" si="12"/>
        <v>0.33333333333333331</v>
      </c>
      <c r="S38" s="98">
        <f t="shared" si="13"/>
        <v>2</v>
      </c>
      <c r="T38" s="77">
        <v>15704</v>
      </c>
      <c r="U38" s="122">
        <v>5.7399999999999993E-2</v>
      </c>
      <c r="V38" s="99">
        <v>0.43700000000000006</v>
      </c>
    </row>
    <row r="39" spans="1:22" ht="14.25" customHeight="1" x14ac:dyDescent="0.25">
      <c r="A39" s="13"/>
      <c r="B39" s="15">
        <v>45429</v>
      </c>
      <c r="C39" s="31" t="s">
        <v>69</v>
      </c>
      <c r="D39" s="29" t="s">
        <v>70</v>
      </c>
      <c r="E39" s="103">
        <f t="shared" si="8"/>
        <v>46</v>
      </c>
      <c r="F39" s="103">
        <v>24</v>
      </c>
      <c r="G39" s="29">
        <v>5</v>
      </c>
      <c r="H39" s="29">
        <v>3</v>
      </c>
      <c r="I39" s="106">
        <v>14</v>
      </c>
      <c r="J39" s="145">
        <f t="shared" si="9"/>
        <v>47</v>
      </c>
      <c r="K39" s="29">
        <v>29</v>
      </c>
      <c r="L39" s="29">
        <v>10</v>
      </c>
      <c r="M39" s="29">
        <v>3</v>
      </c>
      <c r="N39" s="29">
        <v>5</v>
      </c>
      <c r="O39" s="65">
        <f t="array" ref="O39">IFERROR(J39/E39,0)</f>
        <v>1.0217391304347827</v>
      </c>
      <c r="P39" s="65">
        <f t="shared" si="10"/>
        <v>1.2083333333333333</v>
      </c>
      <c r="Q39" s="98">
        <f t="shared" si="11"/>
        <v>2</v>
      </c>
      <c r="R39" s="98">
        <f t="shared" si="12"/>
        <v>1</v>
      </c>
      <c r="S39" s="65">
        <f t="shared" si="13"/>
        <v>0.35714285714285715</v>
      </c>
      <c r="T39" s="80">
        <v>42707</v>
      </c>
      <c r="U39" s="124">
        <v>5.3000000000000005E-2</v>
      </c>
      <c r="V39" s="100">
        <v>0.44600000000000001</v>
      </c>
    </row>
    <row r="40" spans="1:22" ht="14.25" customHeight="1" x14ac:dyDescent="0.25">
      <c r="A40" s="13"/>
      <c r="B40" s="15">
        <v>45429</v>
      </c>
      <c r="C40" s="31" t="s">
        <v>69</v>
      </c>
      <c r="D40" s="38" t="s">
        <v>71</v>
      </c>
      <c r="E40" s="103">
        <f t="shared" si="8"/>
        <v>81</v>
      </c>
      <c r="F40" s="103">
        <v>53</v>
      </c>
      <c r="G40" s="29">
        <v>15</v>
      </c>
      <c r="H40" s="29">
        <v>5</v>
      </c>
      <c r="I40" s="106">
        <v>8</v>
      </c>
      <c r="J40" s="103">
        <f t="shared" si="9"/>
        <v>75</v>
      </c>
      <c r="K40" s="29">
        <v>37</v>
      </c>
      <c r="L40" s="29">
        <v>23</v>
      </c>
      <c r="M40" s="29">
        <v>7</v>
      </c>
      <c r="N40" s="29">
        <v>8</v>
      </c>
      <c r="O40" s="65">
        <f t="array" ref="O40">IFERROR(J40/E40,0)</f>
        <v>0.92592592592592593</v>
      </c>
      <c r="P40" s="65">
        <f t="shared" si="10"/>
        <v>0.69811320754716977</v>
      </c>
      <c r="Q40" s="65">
        <f t="shared" si="11"/>
        <v>1.5333333333333334</v>
      </c>
      <c r="R40" s="30">
        <f t="shared" si="12"/>
        <v>1.4</v>
      </c>
      <c r="S40" s="98">
        <f t="shared" si="13"/>
        <v>1</v>
      </c>
      <c r="T40" s="77">
        <v>29674</v>
      </c>
      <c r="U40" s="146">
        <v>4.8599999999999997E-2</v>
      </c>
      <c r="V40" s="99">
        <v>0.42899999999999999</v>
      </c>
    </row>
    <row r="41" spans="1:22" ht="14.25" customHeight="1" x14ac:dyDescent="0.25">
      <c r="A41" s="13"/>
      <c r="B41" s="15">
        <v>45429</v>
      </c>
      <c r="C41" s="31" t="s">
        <v>69</v>
      </c>
      <c r="D41" s="29" t="s">
        <v>72</v>
      </c>
      <c r="E41" s="103">
        <f t="shared" si="8"/>
        <v>143</v>
      </c>
      <c r="F41" s="103">
        <v>62</v>
      </c>
      <c r="G41" s="29">
        <v>39</v>
      </c>
      <c r="H41" s="29">
        <v>17</v>
      </c>
      <c r="I41" s="106">
        <v>25</v>
      </c>
      <c r="J41" s="145">
        <f t="shared" si="9"/>
        <v>145</v>
      </c>
      <c r="K41" s="29">
        <v>102</v>
      </c>
      <c r="L41" s="29">
        <v>26</v>
      </c>
      <c r="M41" s="29">
        <v>7</v>
      </c>
      <c r="N41" s="29">
        <v>10</v>
      </c>
      <c r="O41" s="65">
        <f t="array" ref="O41">IFERROR(J41/E41,0)</f>
        <v>1.013986013986014</v>
      </c>
      <c r="P41" s="65">
        <f t="shared" si="10"/>
        <v>1.6451612903225807</v>
      </c>
      <c r="Q41" s="65">
        <f t="shared" si="11"/>
        <v>0.66666666666666663</v>
      </c>
      <c r="R41" s="65">
        <f t="shared" si="12"/>
        <v>0.41176470588235292</v>
      </c>
      <c r="S41" s="65">
        <f t="shared" si="13"/>
        <v>0.4</v>
      </c>
      <c r="T41" s="77">
        <v>36528</v>
      </c>
      <c r="U41" s="122">
        <v>6.1899999999999997E-2</v>
      </c>
      <c r="V41" s="99">
        <v>0.47499999999999998</v>
      </c>
    </row>
    <row r="42" spans="1:22" ht="14.25" customHeight="1" x14ac:dyDescent="0.25">
      <c r="A42" s="13"/>
      <c r="B42" s="15">
        <v>45429</v>
      </c>
      <c r="C42" s="31" t="s">
        <v>69</v>
      </c>
      <c r="D42" s="31" t="s">
        <v>73</v>
      </c>
      <c r="E42" s="103">
        <f t="shared" si="8"/>
        <v>81</v>
      </c>
      <c r="F42" s="103">
        <v>62</v>
      </c>
      <c r="G42" s="29">
        <v>5</v>
      </c>
      <c r="H42" s="29">
        <v>9</v>
      </c>
      <c r="I42" s="106">
        <v>5</v>
      </c>
      <c r="J42" s="145">
        <f t="shared" si="9"/>
        <v>43</v>
      </c>
      <c r="K42" s="29">
        <v>39</v>
      </c>
      <c r="L42" s="29">
        <v>3</v>
      </c>
      <c r="M42" s="29">
        <v>0</v>
      </c>
      <c r="N42" s="29">
        <v>1</v>
      </c>
      <c r="O42" s="65">
        <f t="array" ref="O42">IFERROR(J42/E42,0)</f>
        <v>0.53086419753086422</v>
      </c>
      <c r="P42" s="65">
        <f t="shared" si="10"/>
        <v>0.62903225806451613</v>
      </c>
      <c r="Q42" s="65">
        <f t="shared" si="11"/>
        <v>0.6</v>
      </c>
      <c r="R42" s="98">
        <f t="shared" si="12"/>
        <v>0</v>
      </c>
      <c r="S42" s="65">
        <f t="shared" si="13"/>
        <v>0.2</v>
      </c>
      <c r="T42" s="77">
        <v>71041</v>
      </c>
      <c r="U42" s="122">
        <v>8.5800000000000001E-2</v>
      </c>
      <c r="V42" s="99">
        <v>0.433</v>
      </c>
    </row>
    <row r="43" spans="1:22" ht="14.25" customHeight="1" x14ac:dyDescent="0.25">
      <c r="A43" s="13"/>
      <c r="B43" s="15">
        <v>45429</v>
      </c>
      <c r="C43" s="31" t="s">
        <v>69</v>
      </c>
      <c r="D43" s="29" t="s">
        <v>74</v>
      </c>
      <c r="E43" s="103">
        <f t="shared" si="8"/>
        <v>136</v>
      </c>
      <c r="F43" s="103">
        <v>93</v>
      </c>
      <c r="G43" s="29">
        <v>26</v>
      </c>
      <c r="H43" s="29">
        <v>7</v>
      </c>
      <c r="I43" s="106">
        <v>10</v>
      </c>
      <c r="J43" s="145">
        <f t="shared" si="9"/>
        <v>68</v>
      </c>
      <c r="K43" s="29">
        <v>57</v>
      </c>
      <c r="L43" s="29">
        <v>8</v>
      </c>
      <c r="M43" s="29">
        <v>1</v>
      </c>
      <c r="N43" s="29">
        <v>2</v>
      </c>
      <c r="O43" s="65">
        <f t="array" ref="O43">IFERROR(J43/E43,0)</f>
        <v>0.5</v>
      </c>
      <c r="P43" s="65">
        <f t="shared" si="10"/>
        <v>0.61290322580645162</v>
      </c>
      <c r="Q43" s="65">
        <f t="shared" si="11"/>
        <v>0.30769230769230771</v>
      </c>
      <c r="R43" s="65">
        <f t="shared" si="12"/>
        <v>0.14285714285714285</v>
      </c>
      <c r="S43" s="65">
        <f t="shared" si="13"/>
        <v>0.2</v>
      </c>
      <c r="T43" s="77">
        <v>93464</v>
      </c>
      <c r="U43" s="122">
        <v>5.2700000000000004E-2</v>
      </c>
      <c r="V43" s="99">
        <v>0.42</v>
      </c>
    </row>
    <row r="44" spans="1:22" ht="14.25" customHeight="1" x14ac:dyDescent="0.25">
      <c r="A44" s="13"/>
      <c r="B44" s="15">
        <v>45432</v>
      </c>
      <c r="C44" s="31" t="s">
        <v>75</v>
      </c>
      <c r="D44" s="29" t="s">
        <v>76</v>
      </c>
      <c r="E44" s="103">
        <f t="shared" si="8"/>
        <v>569</v>
      </c>
      <c r="F44" s="103">
        <v>228</v>
      </c>
      <c r="G44" s="29">
        <v>269</v>
      </c>
      <c r="H44" s="29">
        <v>32</v>
      </c>
      <c r="I44" s="106">
        <v>40</v>
      </c>
      <c r="J44" s="103">
        <f t="shared" si="9"/>
        <v>507</v>
      </c>
      <c r="K44" s="29">
        <v>234</v>
      </c>
      <c r="L44" s="29">
        <v>217</v>
      </c>
      <c r="M44" s="29">
        <v>22</v>
      </c>
      <c r="N44" s="29">
        <v>34</v>
      </c>
      <c r="O44" s="65">
        <f t="array" ref="O44">IFERROR(J44/E44,0)</f>
        <v>0.89103690685413006</v>
      </c>
      <c r="P44" s="65">
        <f t="shared" si="10"/>
        <v>1.0263157894736843</v>
      </c>
      <c r="Q44" s="65">
        <f t="shared" si="11"/>
        <v>0.80669144981412644</v>
      </c>
      <c r="R44" s="65">
        <f t="shared" si="12"/>
        <v>0.6875</v>
      </c>
      <c r="S44" s="65">
        <f t="shared" si="13"/>
        <v>0.85</v>
      </c>
      <c r="T44" s="82">
        <v>19187</v>
      </c>
      <c r="U44" s="122">
        <v>3.44E-2</v>
      </c>
      <c r="V44" s="99">
        <v>0.39299999999999996</v>
      </c>
    </row>
    <row r="45" spans="1:22" ht="14.25" customHeight="1" x14ac:dyDescent="0.25">
      <c r="A45" s="13"/>
      <c r="B45" s="15">
        <v>45432</v>
      </c>
      <c r="C45" s="31" t="s">
        <v>75</v>
      </c>
      <c r="D45" s="29" t="s">
        <v>77</v>
      </c>
      <c r="E45" s="103">
        <f t="shared" si="8"/>
        <v>90</v>
      </c>
      <c r="F45" s="103">
        <v>87</v>
      </c>
      <c r="G45" s="29">
        <v>3</v>
      </c>
      <c r="H45" s="29">
        <v>0</v>
      </c>
      <c r="I45" s="106">
        <v>0</v>
      </c>
      <c r="J45" s="103">
        <f t="shared" si="9"/>
        <v>28</v>
      </c>
      <c r="K45" s="29">
        <v>28</v>
      </c>
      <c r="L45" s="29">
        <v>0</v>
      </c>
      <c r="M45" s="29">
        <v>0</v>
      </c>
      <c r="N45" s="29">
        <v>0</v>
      </c>
      <c r="O45" s="65">
        <f t="array" ref="O45">IFERROR(J45/E45,0)</f>
        <v>0.31111111111111112</v>
      </c>
      <c r="P45" s="65">
        <f t="shared" si="10"/>
        <v>0.32183908045977011</v>
      </c>
      <c r="Q45" s="98">
        <f t="shared" si="11"/>
        <v>0</v>
      </c>
      <c r="R45" s="98">
        <f t="shared" si="12"/>
        <v>0</v>
      </c>
      <c r="S45" s="98">
        <f t="shared" si="13"/>
        <v>0</v>
      </c>
      <c r="T45" s="82">
        <v>15929</v>
      </c>
      <c r="U45" s="146">
        <v>1.6E-2</v>
      </c>
      <c r="V45" s="99">
        <v>0.39299999999999996</v>
      </c>
    </row>
    <row r="46" spans="1:22" ht="14.25" customHeight="1" x14ac:dyDescent="0.25">
      <c r="A46" s="13"/>
      <c r="B46" s="15">
        <v>45432</v>
      </c>
      <c r="C46" s="31" t="s">
        <v>75</v>
      </c>
      <c r="D46" s="29" t="s">
        <v>78</v>
      </c>
      <c r="E46" s="29">
        <v>0</v>
      </c>
      <c r="F46" s="29">
        <v>0</v>
      </c>
      <c r="G46" s="29">
        <v>0</v>
      </c>
      <c r="H46" s="29">
        <v>0</v>
      </c>
      <c r="I46" s="106">
        <v>0</v>
      </c>
      <c r="J46" s="145">
        <f t="shared" si="9"/>
        <v>3</v>
      </c>
      <c r="K46" s="29">
        <v>2</v>
      </c>
      <c r="L46" s="29">
        <v>0</v>
      </c>
      <c r="M46" s="29">
        <v>0</v>
      </c>
      <c r="N46" s="29">
        <v>1</v>
      </c>
      <c r="O46" s="65">
        <f t="array" ref="O46">IFERROR(J46/E46,0)</f>
        <v>0</v>
      </c>
      <c r="P46" s="65">
        <f t="shared" si="10"/>
        <v>0</v>
      </c>
      <c r="Q46" s="98">
        <f t="shared" si="11"/>
        <v>0</v>
      </c>
      <c r="R46" s="98">
        <f t="shared" si="12"/>
        <v>0</v>
      </c>
      <c r="S46" s="98">
        <f t="shared" si="13"/>
        <v>0</v>
      </c>
      <c r="T46" s="82">
        <v>5018</v>
      </c>
      <c r="U46" s="122">
        <v>3.5400000000000001E-2</v>
      </c>
      <c r="V46" s="99">
        <v>0.3054</v>
      </c>
    </row>
    <row r="47" spans="1:22" ht="14.25" customHeight="1" x14ac:dyDescent="0.25">
      <c r="A47" s="13"/>
      <c r="B47" s="15">
        <v>45432</v>
      </c>
      <c r="C47" s="31" t="s">
        <v>75</v>
      </c>
      <c r="D47" s="31" t="s">
        <v>79</v>
      </c>
      <c r="E47" s="103">
        <f t="shared" ref="E47:E53" si="14">SUM(F47:I47)</f>
        <v>8</v>
      </c>
      <c r="F47" s="103">
        <v>5</v>
      </c>
      <c r="G47" s="29">
        <v>1</v>
      </c>
      <c r="H47" s="29">
        <v>0</v>
      </c>
      <c r="I47" s="106">
        <v>2</v>
      </c>
      <c r="J47" s="103">
        <f t="shared" si="9"/>
        <v>14</v>
      </c>
      <c r="K47" s="29">
        <v>9</v>
      </c>
      <c r="L47" s="29">
        <v>1</v>
      </c>
      <c r="M47" s="29">
        <v>1</v>
      </c>
      <c r="N47" s="29">
        <v>3</v>
      </c>
      <c r="O47" s="65">
        <f t="array" ref="O47">IFERROR(J47/E47,0)</f>
        <v>1.75</v>
      </c>
      <c r="P47" s="65">
        <f t="shared" si="10"/>
        <v>1.8</v>
      </c>
      <c r="Q47" s="98">
        <f t="shared" si="11"/>
        <v>1</v>
      </c>
      <c r="R47" s="98">
        <f t="shared" si="12"/>
        <v>0</v>
      </c>
      <c r="S47" s="30">
        <f t="shared" si="13"/>
        <v>1.5</v>
      </c>
      <c r="T47" s="82">
        <v>27669</v>
      </c>
      <c r="U47" s="122">
        <v>5.7999999999999996E-2</v>
      </c>
      <c r="V47" s="99">
        <v>0.39299999999999996</v>
      </c>
    </row>
    <row r="48" spans="1:22" ht="14.25" customHeight="1" x14ac:dyDescent="0.25">
      <c r="A48" s="13"/>
      <c r="B48" s="15">
        <v>45432</v>
      </c>
      <c r="C48" s="31" t="s">
        <v>75</v>
      </c>
      <c r="D48" s="29" t="s">
        <v>80</v>
      </c>
      <c r="E48" s="103">
        <f t="shared" si="14"/>
        <v>9</v>
      </c>
      <c r="F48" s="103">
        <v>7</v>
      </c>
      <c r="G48" s="29">
        <v>2</v>
      </c>
      <c r="H48" s="29">
        <v>0</v>
      </c>
      <c r="I48" s="106">
        <v>0</v>
      </c>
      <c r="J48" s="145">
        <f t="shared" si="9"/>
        <v>13</v>
      </c>
      <c r="K48" s="29">
        <v>11</v>
      </c>
      <c r="L48" s="29">
        <v>0</v>
      </c>
      <c r="M48" s="29">
        <v>1</v>
      </c>
      <c r="N48" s="29">
        <v>1</v>
      </c>
      <c r="O48" s="65">
        <f t="array" ref="O48">IFERROR(J48/E48,0)</f>
        <v>1.4444444444444444</v>
      </c>
      <c r="P48" s="65">
        <f t="shared" si="10"/>
        <v>1.5714285714285714</v>
      </c>
      <c r="Q48" s="98">
        <f t="shared" si="11"/>
        <v>0</v>
      </c>
      <c r="R48" s="98">
        <f t="shared" si="12"/>
        <v>0</v>
      </c>
      <c r="S48" s="98">
        <f t="shared" si="13"/>
        <v>0</v>
      </c>
      <c r="T48" s="31">
        <v>110</v>
      </c>
      <c r="U48" s="122">
        <v>3.5700000000000003E-2</v>
      </c>
      <c r="V48" s="99">
        <v>0.39299999999999996</v>
      </c>
    </row>
    <row r="49" spans="1:22" ht="14.25" customHeight="1" x14ac:dyDescent="0.25">
      <c r="A49" s="13"/>
      <c r="B49" s="15">
        <v>45432</v>
      </c>
      <c r="C49" s="31" t="s">
        <v>81</v>
      </c>
      <c r="D49" s="29" t="s">
        <v>82</v>
      </c>
      <c r="E49" s="103">
        <f t="shared" si="14"/>
        <v>323</v>
      </c>
      <c r="F49" s="103">
        <v>168</v>
      </c>
      <c r="G49" s="29">
        <v>58</v>
      </c>
      <c r="H49" s="29">
        <v>26</v>
      </c>
      <c r="I49" s="106">
        <v>71</v>
      </c>
      <c r="J49" s="103">
        <f t="shared" si="9"/>
        <v>156</v>
      </c>
      <c r="K49" s="29">
        <v>79</v>
      </c>
      <c r="L49" s="29">
        <v>33</v>
      </c>
      <c r="M49" s="29">
        <v>11</v>
      </c>
      <c r="N49" s="29">
        <v>33</v>
      </c>
      <c r="O49" s="65">
        <f t="array" ref="O49">IFERROR(J49/E49,0)</f>
        <v>0.48297213622291024</v>
      </c>
      <c r="P49" s="65">
        <f t="shared" si="10"/>
        <v>0.47023809523809523</v>
      </c>
      <c r="Q49" s="65">
        <f t="shared" si="11"/>
        <v>0.56896551724137934</v>
      </c>
      <c r="R49" s="65">
        <f t="shared" si="12"/>
        <v>0.42307692307692307</v>
      </c>
      <c r="S49" s="65">
        <f t="shared" si="13"/>
        <v>0.46478873239436619</v>
      </c>
      <c r="T49" s="82">
        <v>10040</v>
      </c>
      <c r="U49" s="122">
        <v>3.8900000000000004E-2</v>
      </c>
      <c r="V49" s="99">
        <v>0.43200000000000005</v>
      </c>
    </row>
    <row r="50" spans="1:22" ht="14.25" customHeight="1" x14ac:dyDescent="0.25">
      <c r="A50" s="13"/>
      <c r="B50" s="15">
        <v>45432</v>
      </c>
      <c r="C50" s="31" t="s">
        <v>81</v>
      </c>
      <c r="D50" s="29" t="s">
        <v>83</v>
      </c>
      <c r="E50" s="103">
        <f t="shared" si="14"/>
        <v>17</v>
      </c>
      <c r="F50" s="103">
        <v>8</v>
      </c>
      <c r="G50" s="29">
        <v>3</v>
      </c>
      <c r="H50" s="29">
        <v>2</v>
      </c>
      <c r="I50" s="106">
        <v>4</v>
      </c>
      <c r="J50" s="103">
        <f t="shared" si="9"/>
        <v>12</v>
      </c>
      <c r="K50" s="29">
        <v>4</v>
      </c>
      <c r="L50" s="29">
        <v>2</v>
      </c>
      <c r="M50" s="29">
        <v>1</v>
      </c>
      <c r="N50" s="29">
        <v>5</v>
      </c>
      <c r="O50" s="65">
        <f t="array" ref="O50">IFERROR(J50/E50,0)</f>
        <v>0.70588235294117652</v>
      </c>
      <c r="P50" s="65">
        <f t="shared" si="10"/>
        <v>0.5</v>
      </c>
      <c r="Q50" s="65">
        <f t="shared" si="11"/>
        <v>0.66666666666666663</v>
      </c>
      <c r="R50" s="30">
        <f t="shared" si="12"/>
        <v>0.5</v>
      </c>
      <c r="S50" s="65">
        <f t="shared" si="13"/>
        <v>1.25</v>
      </c>
      <c r="T50" s="82">
        <v>23527</v>
      </c>
      <c r="U50" s="122">
        <v>4.5299999999999993E-2</v>
      </c>
      <c r="V50" s="99">
        <v>0.43200000000000005</v>
      </c>
    </row>
    <row r="51" spans="1:22" ht="14.25" customHeight="1" x14ac:dyDescent="0.25">
      <c r="A51" s="13"/>
      <c r="B51" s="15">
        <v>45432</v>
      </c>
      <c r="C51" s="31" t="s">
        <v>81</v>
      </c>
      <c r="D51" s="29" t="s">
        <v>84</v>
      </c>
      <c r="E51" s="103">
        <f t="shared" si="14"/>
        <v>56</v>
      </c>
      <c r="F51" s="103">
        <v>49</v>
      </c>
      <c r="G51" s="29">
        <v>6</v>
      </c>
      <c r="H51" s="29">
        <v>0</v>
      </c>
      <c r="I51" s="106">
        <v>1</v>
      </c>
      <c r="J51" s="145">
        <f t="shared" si="9"/>
        <v>58</v>
      </c>
      <c r="K51" s="29">
        <v>51</v>
      </c>
      <c r="L51" s="29">
        <v>4</v>
      </c>
      <c r="M51" s="29">
        <v>0</v>
      </c>
      <c r="N51" s="29">
        <v>3</v>
      </c>
      <c r="O51" s="65">
        <f t="array" ref="O51">IFERROR(J51/E51,0)</f>
        <v>1.0357142857142858</v>
      </c>
      <c r="P51" s="65">
        <f t="shared" si="10"/>
        <v>1.0408163265306123</v>
      </c>
      <c r="Q51" s="65">
        <f t="shared" si="11"/>
        <v>0.66666666666666663</v>
      </c>
      <c r="R51" s="98">
        <f t="shared" si="12"/>
        <v>0</v>
      </c>
      <c r="S51" s="98">
        <f t="shared" si="13"/>
        <v>3</v>
      </c>
      <c r="T51" s="82">
        <v>6249</v>
      </c>
      <c r="U51" s="146">
        <v>2.8600000000000004E-2</v>
      </c>
      <c r="V51" s="99">
        <v>0.43200000000000005</v>
      </c>
    </row>
    <row r="52" spans="1:22" ht="14.25" customHeight="1" x14ac:dyDescent="0.25">
      <c r="A52" s="13"/>
      <c r="B52" s="15">
        <v>45432</v>
      </c>
      <c r="C52" s="31" t="s">
        <v>81</v>
      </c>
      <c r="D52" s="31" t="s">
        <v>85</v>
      </c>
      <c r="E52" s="103">
        <f t="shared" si="14"/>
        <v>72</v>
      </c>
      <c r="F52" s="103">
        <v>53</v>
      </c>
      <c r="G52" s="29">
        <v>12</v>
      </c>
      <c r="H52" s="29">
        <v>2</v>
      </c>
      <c r="I52" s="106">
        <v>5</v>
      </c>
      <c r="J52" s="145">
        <f t="shared" si="9"/>
        <v>70</v>
      </c>
      <c r="K52" s="29">
        <v>61</v>
      </c>
      <c r="L52" s="29">
        <v>5</v>
      </c>
      <c r="M52" s="29">
        <v>2</v>
      </c>
      <c r="N52" s="29">
        <v>2</v>
      </c>
      <c r="O52" s="65">
        <f t="array" ref="O52">IFERROR(J52/E52,0)</f>
        <v>0.97222222222222221</v>
      </c>
      <c r="P52" s="65">
        <f t="shared" si="10"/>
        <v>1.1509433962264151</v>
      </c>
      <c r="Q52" s="65">
        <f t="shared" si="11"/>
        <v>0.41666666666666669</v>
      </c>
      <c r="R52" s="98">
        <f t="shared" si="12"/>
        <v>1</v>
      </c>
      <c r="S52" s="30">
        <f t="shared" si="13"/>
        <v>0.4</v>
      </c>
      <c r="T52" s="82">
        <v>38994</v>
      </c>
      <c r="U52" s="122">
        <v>3.9899999999999998E-2</v>
      </c>
      <c r="V52" s="99">
        <v>0.43200000000000005</v>
      </c>
    </row>
    <row r="53" spans="1:22" ht="14.25" customHeight="1" x14ac:dyDescent="0.25">
      <c r="A53" s="13"/>
      <c r="B53" s="15">
        <v>45432</v>
      </c>
      <c r="C53" s="31" t="s">
        <v>81</v>
      </c>
      <c r="D53" s="29" t="s">
        <v>86</v>
      </c>
      <c r="E53" s="103">
        <f t="shared" si="14"/>
        <v>114</v>
      </c>
      <c r="F53" s="110">
        <v>0</v>
      </c>
      <c r="G53" s="29">
        <v>8</v>
      </c>
      <c r="H53" s="29">
        <v>24</v>
      </c>
      <c r="I53" s="106">
        <v>82</v>
      </c>
      <c r="J53" s="145">
        <f t="shared" si="9"/>
        <v>64</v>
      </c>
      <c r="K53" s="29">
        <v>2</v>
      </c>
      <c r="L53" s="29">
        <v>11</v>
      </c>
      <c r="M53" s="29">
        <v>17</v>
      </c>
      <c r="N53" s="29">
        <v>34</v>
      </c>
      <c r="O53" s="65">
        <f t="array" ref="O53">IFERROR(J53/E53,0)</f>
        <v>0.56140350877192979</v>
      </c>
      <c r="P53" s="98">
        <f t="shared" si="10"/>
        <v>0</v>
      </c>
      <c r="Q53" s="65">
        <f t="shared" si="11"/>
        <v>1.375</v>
      </c>
      <c r="R53" s="65">
        <f t="shared" si="12"/>
        <v>0.70833333333333337</v>
      </c>
      <c r="S53" s="65">
        <f t="shared" si="13"/>
        <v>0.41463414634146339</v>
      </c>
      <c r="T53" s="31">
        <v>635</v>
      </c>
      <c r="U53" s="122">
        <v>4.0299999999999996E-2</v>
      </c>
      <c r="V53" s="99">
        <v>0.43200000000000005</v>
      </c>
    </row>
    <row r="54" spans="1:22" ht="15.75" customHeight="1" x14ac:dyDescent="0.25"/>
    <row r="55" spans="1:22" ht="15.75" customHeight="1" x14ac:dyDescent="0.25"/>
    <row r="56" spans="1:22" ht="15.75" customHeight="1" x14ac:dyDescent="0.25"/>
    <row r="57" spans="1:22" ht="15.75" customHeight="1" x14ac:dyDescent="0.25"/>
    <row r="58" spans="1:22" ht="15.75" customHeight="1" x14ac:dyDescent="0.25"/>
    <row r="59" spans="1:22" ht="15.75" customHeight="1" x14ac:dyDescent="0.25"/>
    <row r="60" spans="1:22" ht="15.75" customHeight="1" x14ac:dyDescent="0.25"/>
    <row r="61" spans="1:22" ht="15.75" customHeight="1" x14ac:dyDescent="0.25"/>
    <row r="62" spans="1:22" ht="15.75" customHeight="1" x14ac:dyDescent="0.25"/>
    <row r="63" spans="1:22" ht="15.75" customHeight="1" x14ac:dyDescent="0.25"/>
    <row r="64" spans="1:2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</sheetData>
  <pageMargins left="0.7" right="0.7" top="0.75" bottom="0.75" header="0" footer="0"/>
  <pageSetup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0132-7221-4511-A4F6-C2311870D371}">
  <sheetPr codeName="Hoja4"/>
  <dimension ref="A1:IN119"/>
  <sheetViews>
    <sheetView showGridLines="0" tabSelected="1" showRuler="0" zoomScale="110" zoomScaleNormal="110" workbookViewId="0">
      <selection activeCell="I4" sqref="I4"/>
    </sheetView>
  </sheetViews>
  <sheetFormatPr baseColWidth="10" defaultRowHeight="15" x14ac:dyDescent="0.25"/>
  <cols>
    <col min="1" max="1" width="17.44140625" style="3" bestFit="1" customWidth="1"/>
    <col min="2" max="2" width="23.77734375" style="3" bestFit="1" customWidth="1"/>
    <col min="3" max="3" width="19.77734375" style="3" bestFit="1" customWidth="1"/>
    <col min="4" max="4" width="23.21875" style="3" bestFit="1" customWidth="1"/>
    <col min="5" max="5" width="25.6640625" style="3" bestFit="1" customWidth="1"/>
    <col min="6" max="6" width="17.44140625" style="3" customWidth="1"/>
    <col min="7" max="7" width="17.44140625" style="3" bestFit="1" customWidth="1"/>
    <col min="8" max="9" width="17.109375" style="3" bestFit="1" customWidth="1"/>
    <col min="10" max="10" width="31.21875" style="3" bestFit="1" customWidth="1"/>
    <col min="11" max="11" width="24.33203125" style="3" bestFit="1" customWidth="1"/>
    <col min="12" max="12" width="28.33203125" style="3" bestFit="1" customWidth="1"/>
    <col min="13" max="54" width="21.5546875" style="3" bestFit="1" customWidth="1"/>
    <col min="55" max="56" width="14.77734375" style="3" bestFit="1" customWidth="1"/>
    <col min="57" max="57" width="8.21875" style="3" bestFit="1" customWidth="1"/>
    <col min="58" max="58" width="9" style="3" bestFit="1" customWidth="1"/>
    <col min="59" max="59" width="11.5546875" style="3" bestFit="1" customWidth="1"/>
    <col min="60" max="60" width="12.6640625" style="3" bestFit="1" customWidth="1"/>
    <col min="61" max="61" width="17.5546875" style="3" bestFit="1" customWidth="1"/>
    <col min="62" max="62" width="13.88671875" style="3" bestFit="1" customWidth="1"/>
    <col min="63" max="63" width="12.44140625" style="3" bestFit="1" customWidth="1"/>
    <col min="64" max="64" width="13.33203125" style="3" bestFit="1" customWidth="1"/>
    <col min="65" max="65" width="12.88671875" style="3" bestFit="1" customWidth="1"/>
    <col min="66" max="66" width="11.21875" style="3" bestFit="1" customWidth="1"/>
    <col min="67" max="67" width="18.5546875" style="3" bestFit="1" customWidth="1"/>
    <col min="68" max="68" width="13.21875" style="3" bestFit="1" customWidth="1"/>
    <col min="69" max="69" width="12.109375" style="3" bestFit="1" customWidth="1"/>
    <col min="70" max="70" width="11.21875" style="3" bestFit="1" customWidth="1"/>
    <col min="71" max="71" width="4.6640625" style="3" bestFit="1" customWidth="1"/>
    <col min="72" max="72" width="13" style="3" bestFit="1" customWidth="1"/>
    <col min="73" max="73" width="10.44140625" style="3" bestFit="1" customWidth="1"/>
    <col min="74" max="74" width="14.77734375" style="3" bestFit="1" customWidth="1"/>
    <col min="75" max="75" width="14.44140625" style="3" bestFit="1" customWidth="1"/>
    <col min="76" max="76" width="7.44140625" style="3" bestFit="1" customWidth="1"/>
    <col min="77" max="77" width="8.109375" style="3" bestFit="1" customWidth="1"/>
    <col min="78" max="78" width="9.21875" style="3" bestFit="1" customWidth="1"/>
    <col min="79" max="79" width="21.5546875" style="3" bestFit="1" customWidth="1"/>
    <col min="80" max="80" width="10.109375" style="3" bestFit="1" customWidth="1"/>
    <col min="81" max="81" width="19.109375" style="3" bestFit="1" customWidth="1"/>
    <col min="82" max="82" width="12" style="3" bestFit="1" customWidth="1"/>
    <col min="83" max="83" width="7" style="3" bestFit="1" customWidth="1"/>
    <col min="84" max="84" width="12.44140625" style="3" bestFit="1" customWidth="1"/>
    <col min="85" max="85" width="16.88671875" style="3" bestFit="1" customWidth="1"/>
    <col min="86" max="86" width="6.109375" style="3" bestFit="1" customWidth="1"/>
    <col min="87" max="87" width="8.5546875" style="3" bestFit="1" customWidth="1"/>
    <col min="88" max="88" width="15.77734375" style="3" bestFit="1" customWidth="1"/>
    <col min="89" max="89" width="14.33203125" style="3" bestFit="1" customWidth="1"/>
    <col min="90" max="90" width="15.88671875" style="3" bestFit="1" customWidth="1"/>
    <col min="91" max="91" width="10.33203125" style="3" bestFit="1" customWidth="1"/>
    <col min="92" max="92" width="11.77734375" style="3" bestFit="1" customWidth="1"/>
    <col min="93" max="93" width="14.109375" style="3" bestFit="1" customWidth="1"/>
    <col min="94" max="94" width="8" style="3" bestFit="1" customWidth="1"/>
    <col min="95" max="95" width="9.77734375" style="3" bestFit="1" customWidth="1"/>
    <col min="96" max="96" width="16.44140625" style="3" bestFit="1" customWidth="1"/>
    <col min="97" max="97" width="14.44140625" style="3" bestFit="1" customWidth="1"/>
    <col min="98" max="98" width="11.33203125" style="3" bestFit="1" customWidth="1"/>
    <col min="99" max="99" width="16.6640625" style="3" bestFit="1" customWidth="1"/>
    <col min="100" max="101" width="14.44140625" style="3" bestFit="1" customWidth="1"/>
    <col min="102" max="102" width="16.21875" style="3" bestFit="1" customWidth="1"/>
    <col min="103" max="103" width="14.5546875" style="3" bestFit="1" customWidth="1"/>
    <col min="104" max="104" width="14.44140625" style="3" bestFit="1" customWidth="1"/>
    <col min="105" max="105" width="17" style="3" bestFit="1" customWidth="1"/>
    <col min="106" max="106" width="14.44140625" style="3" bestFit="1" customWidth="1"/>
    <col min="107" max="107" width="9" style="3" bestFit="1" customWidth="1"/>
    <col min="108" max="109" width="14.44140625" style="3" bestFit="1" customWidth="1"/>
    <col min="110" max="110" width="17.5546875" style="3" bestFit="1" customWidth="1"/>
    <col min="111" max="115" width="14.44140625" style="3" bestFit="1" customWidth="1"/>
    <col min="116" max="116" width="18.5546875" style="3" bestFit="1" customWidth="1"/>
    <col min="117" max="117" width="14.44140625" style="3" bestFit="1" customWidth="1"/>
    <col min="118" max="118" width="12.109375" style="3" bestFit="1" customWidth="1"/>
    <col min="119" max="122" width="14.44140625" style="3" bestFit="1" customWidth="1"/>
    <col min="123" max="123" width="14.77734375" style="3" bestFit="1" customWidth="1"/>
    <col min="124" max="127" width="14.44140625" style="3" bestFit="1" customWidth="1"/>
    <col min="128" max="128" width="21.5546875" style="3" bestFit="1" customWidth="1"/>
    <col min="129" max="129" width="10.109375" style="3" bestFit="1" customWidth="1"/>
    <col min="130" max="130" width="19.109375" style="3" bestFit="1" customWidth="1"/>
    <col min="131" max="131" width="13.21875" style="3" bestFit="1" customWidth="1"/>
    <col min="132" max="133" width="14.44140625" style="3" bestFit="1" customWidth="1"/>
    <col min="134" max="134" width="16.88671875" style="3" bestFit="1" customWidth="1"/>
    <col min="135" max="135" width="14.44140625" style="3" bestFit="1" customWidth="1"/>
    <col min="136" max="136" width="8.5546875" style="3" bestFit="1" customWidth="1"/>
    <col min="137" max="137" width="15.77734375" style="3" bestFit="1" customWidth="1"/>
    <col min="138" max="138" width="14.44140625" style="3" bestFit="1" customWidth="1"/>
    <col min="139" max="139" width="15.88671875" style="3" bestFit="1" customWidth="1"/>
    <col min="140" max="140" width="14.44140625" style="3" bestFit="1" customWidth="1"/>
    <col min="141" max="141" width="13.21875" style="3" bestFit="1" customWidth="1"/>
    <col min="142" max="142" width="14.109375" style="3" bestFit="1" customWidth="1"/>
    <col min="143" max="143" width="8" style="3" bestFit="1" customWidth="1"/>
    <col min="144" max="144" width="14.44140625" style="3" bestFit="1" customWidth="1"/>
    <col min="145" max="145" width="16.44140625" style="3" bestFit="1" customWidth="1"/>
    <col min="146" max="146" width="22.77734375" style="3" bestFit="1" customWidth="1"/>
    <col min="147" max="147" width="11.33203125" style="3" bestFit="1" customWidth="1"/>
    <col min="148" max="148" width="16.6640625" style="3" bestFit="1" customWidth="1"/>
    <col min="149" max="149" width="12.6640625" style="3" bestFit="1" customWidth="1"/>
    <col min="150" max="150" width="12.5546875" style="3" bestFit="1" customWidth="1"/>
    <col min="151" max="151" width="16.21875" style="3" bestFit="1" customWidth="1"/>
    <col min="152" max="152" width="14.5546875" style="3" bestFit="1" customWidth="1"/>
    <col min="153" max="153" width="11.88671875" style="3" bestFit="1" customWidth="1"/>
    <col min="154" max="154" width="17" style="3" bestFit="1" customWidth="1"/>
    <col min="155" max="155" width="8.21875" style="3" bestFit="1" customWidth="1"/>
    <col min="156" max="156" width="9" style="3" bestFit="1" customWidth="1"/>
    <col min="157" max="157" width="11.5546875" style="3" bestFit="1" customWidth="1"/>
    <col min="158" max="158" width="12.6640625" style="3" bestFit="1" customWidth="1"/>
    <col min="159" max="159" width="17.5546875" style="3" bestFit="1" customWidth="1"/>
    <col min="160" max="160" width="13.88671875" style="3" bestFit="1" customWidth="1"/>
    <col min="161" max="161" width="12.44140625" style="3" bestFit="1" customWidth="1"/>
    <col min="162" max="162" width="13.33203125" style="3" bestFit="1" customWidth="1"/>
    <col min="163" max="163" width="12.88671875" style="3" bestFit="1" customWidth="1"/>
    <col min="164" max="164" width="11.21875" style="3" bestFit="1" customWidth="1"/>
    <col min="165" max="165" width="18.5546875" style="3" bestFit="1" customWidth="1"/>
    <col min="166" max="166" width="13.21875" style="3" bestFit="1" customWidth="1"/>
    <col min="167" max="167" width="12.109375" style="3" bestFit="1" customWidth="1"/>
    <col min="168" max="168" width="11.21875" style="3" bestFit="1" customWidth="1"/>
    <col min="169" max="169" width="4.6640625" style="3" bestFit="1" customWidth="1"/>
    <col min="170" max="170" width="13" style="3" bestFit="1" customWidth="1"/>
    <col min="171" max="171" width="10.44140625" style="3" bestFit="1" customWidth="1"/>
    <col min="172" max="172" width="14.77734375" style="3" bestFit="1" customWidth="1"/>
    <col min="173" max="173" width="14.44140625" style="3" bestFit="1" customWidth="1"/>
    <col min="174" max="174" width="7.44140625" style="3" bestFit="1" customWidth="1"/>
    <col min="175" max="175" width="8.109375" style="3" bestFit="1" customWidth="1"/>
    <col min="176" max="176" width="9.21875" style="3" bestFit="1" customWidth="1"/>
    <col min="177" max="177" width="21.5546875" style="3" bestFit="1" customWidth="1"/>
    <col min="178" max="178" width="10.109375" style="3" bestFit="1" customWidth="1"/>
    <col min="179" max="179" width="19.109375" style="3" bestFit="1" customWidth="1"/>
    <col min="180" max="180" width="12" style="3" bestFit="1" customWidth="1"/>
    <col min="181" max="181" width="7.109375" style="3" bestFit="1" customWidth="1"/>
    <col min="182" max="182" width="12.44140625" style="3" bestFit="1" customWidth="1"/>
    <col min="183" max="183" width="16.88671875" style="3" bestFit="1" customWidth="1"/>
    <col min="184" max="184" width="7.109375" style="3" bestFit="1" customWidth="1"/>
    <col min="185" max="185" width="8.5546875" style="3" bestFit="1" customWidth="1"/>
    <col min="186" max="186" width="15.77734375" style="3" bestFit="1" customWidth="1"/>
    <col min="187" max="187" width="14.33203125" style="3" bestFit="1" customWidth="1"/>
    <col min="188" max="188" width="15.88671875" style="3" bestFit="1" customWidth="1"/>
    <col min="189" max="189" width="10.33203125" style="3" bestFit="1" customWidth="1"/>
    <col min="190" max="190" width="11.77734375" style="3" bestFit="1" customWidth="1"/>
    <col min="191" max="191" width="14.109375" style="3" bestFit="1" customWidth="1"/>
    <col min="192" max="192" width="8" style="3" bestFit="1" customWidth="1"/>
    <col min="193" max="193" width="9.77734375" style="3" bestFit="1" customWidth="1"/>
    <col min="194" max="194" width="16.44140625" style="3" bestFit="1" customWidth="1"/>
    <col min="195" max="195" width="19" style="3" bestFit="1" customWidth="1"/>
    <col min="196" max="196" width="11.33203125" style="3" bestFit="1" customWidth="1"/>
    <col min="197" max="197" width="16.6640625" style="3" bestFit="1" customWidth="1"/>
    <col min="198" max="198" width="12.6640625" style="3" bestFit="1" customWidth="1"/>
    <col min="199" max="199" width="12.5546875" style="3" bestFit="1" customWidth="1"/>
    <col min="200" max="200" width="16.21875" style="3" bestFit="1" customWidth="1"/>
    <col min="201" max="201" width="14.5546875" style="3" bestFit="1" customWidth="1"/>
    <col min="202" max="202" width="11.88671875" style="3" bestFit="1" customWidth="1"/>
    <col min="203" max="203" width="17" style="3" bestFit="1" customWidth="1"/>
    <col min="204" max="204" width="8.21875" style="3" bestFit="1" customWidth="1"/>
    <col min="205" max="205" width="9" style="3" bestFit="1" customWidth="1"/>
    <col min="206" max="206" width="11.5546875" style="3" bestFit="1" customWidth="1"/>
    <col min="207" max="207" width="12.6640625" style="3" bestFit="1" customWidth="1"/>
    <col min="208" max="208" width="17.5546875" style="3" bestFit="1" customWidth="1"/>
    <col min="209" max="209" width="13.88671875" style="3" bestFit="1" customWidth="1"/>
    <col min="210" max="210" width="12.44140625" style="3" bestFit="1" customWidth="1"/>
    <col min="211" max="211" width="13.33203125" style="3" bestFit="1" customWidth="1"/>
    <col min="212" max="212" width="12.88671875" style="3" bestFit="1" customWidth="1"/>
    <col min="213" max="213" width="11.21875" style="3" bestFit="1" customWidth="1"/>
    <col min="214" max="214" width="18.5546875" style="3" bestFit="1" customWidth="1"/>
    <col min="215" max="215" width="13.21875" style="3" bestFit="1" customWidth="1"/>
    <col min="216" max="216" width="12.109375" style="3" bestFit="1" customWidth="1"/>
    <col min="217" max="217" width="11.21875" style="3" bestFit="1" customWidth="1"/>
    <col min="218" max="218" width="7.109375" style="3" bestFit="1" customWidth="1"/>
    <col min="219" max="219" width="13" style="3" bestFit="1" customWidth="1"/>
    <col min="220" max="220" width="10.44140625" style="3" bestFit="1" customWidth="1"/>
    <col min="221" max="221" width="14.77734375" style="3" bestFit="1" customWidth="1"/>
    <col min="222" max="222" width="14.44140625" style="3" bestFit="1" customWidth="1"/>
    <col min="223" max="223" width="7.44140625" style="3" bestFit="1" customWidth="1"/>
    <col min="224" max="224" width="8.109375" style="3" bestFit="1" customWidth="1"/>
    <col min="225" max="225" width="9.21875" style="3" bestFit="1" customWidth="1"/>
    <col min="226" max="226" width="21.5546875" style="3" bestFit="1" customWidth="1"/>
    <col min="227" max="227" width="10.109375" style="3" bestFit="1" customWidth="1"/>
    <col min="228" max="228" width="19.109375" style="3" bestFit="1" customWidth="1"/>
    <col min="229" max="229" width="12" style="3" bestFit="1" customWidth="1"/>
    <col min="230" max="230" width="7.109375" style="3" bestFit="1" customWidth="1"/>
    <col min="231" max="231" width="12.44140625" style="3" bestFit="1" customWidth="1"/>
    <col min="232" max="232" width="16.88671875" style="3" bestFit="1" customWidth="1"/>
    <col min="233" max="233" width="7.109375" style="3" bestFit="1" customWidth="1"/>
    <col min="234" max="234" width="8.5546875" style="3" bestFit="1" customWidth="1"/>
    <col min="235" max="235" width="15.77734375" style="3" bestFit="1" customWidth="1"/>
    <col min="236" max="236" width="14.33203125" style="3" bestFit="1" customWidth="1"/>
    <col min="237" max="237" width="15.88671875" style="3" bestFit="1" customWidth="1"/>
    <col min="238" max="238" width="10.33203125" style="3" bestFit="1" customWidth="1"/>
    <col min="239" max="239" width="11.77734375" style="3" bestFit="1" customWidth="1"/>
    <col min="240" max="240" width="14.109375" style="3" bestFit="1" customWidth="1"/>
    <col min="241" max="241" width="8" style="3" bestFit="1" customWidth="1"/>
    <col min="242" max="242" width="9.77734375" style="3" bestFit="1" customWidth="1"/>
    <col min="243" max="243" width="16.44140625" style="3" bestFit="1" customWidth="1"/>
    <col min="244" max="244" width="23" style="3" bestFit="1" customWidth="1"/>
    <col min="245" max="245" width="22.21875" style="3" bestFit="1" customWidth="1"/>
    <col min="246" max="246" width="19.77734375" style="3" bestFit="1" customWidth="1"/>
    <col min="247" max="247" width="28.88671875" style="3" bestFit="1" customWidth="1"/>
    <col min="248" max="248" width="25.109375" style="3" bestFit="1" customWidth="1"/>
    <col min="249" max="16384" width="11.5546875" style="3"/>
  </cols>
  <sheetData>
    <row r="1" spans="1:248" x14ac:dyDescent="0.25">
      <c r="F1"/>
      <c r="G1"/>
    </row>
    <row r="3" spans="1:248" x14ac:dyDescent="0.25">
      <c r="A3" s="153" t="s">
        <v>9</v>
      </c>
      <c r="B3" s="154" t="s">
        <v>89</v>
      </c>
      <c r="C3" s="121" t="s">
        <v>88</v>
      </c>
      <c r="D3" s="121" t="s">
        <v>97</v>
      </c>
      <c r="E3"/>
      <c r="F3" s="152" t="s">
        <v>9</v>
      </c>
      <c r="G3" s="121" t="s">
        <v>104</v>
      </c>
      <c r="H3" s="121" t="s">
        <v>105</v>
      </c>
      <c r="I3" s="121" t="s">
        <v>103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</row>
    <row r="4" spans="1:248" x14ac:dyDescent="0.25">
      <c r="A4" s="121" t="s">
        <v>69</v>
      </c>
      <c r="B4" s="118">
        <v>54682.8</v>
      </c>
      <c r="C4" s="119">
        <v>0.44060000000000005</v>
      </c>
      <c r="D4" s="119">
        <v>6.0399999999999995E-2</v>
      </c>
      <c r="E4"/>
      <c r="F4" s="121" t="s">
        <v>35</v>
      </c>
      <c r="G4" s="118">
        <v>5033</v>
      </c>
      <c r="H4" s="118">
        <v>2952</v>
      </c>
      <c r="I4" s="120">
        <v>0.58652890919928469</v>
      </c>
      <c r="J4" s="129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</row>
    <row r="5" spans="1:248" x14ac:dyDescent="0.25">
      <c r="A5" s="121" t="s">
        <v>63</v>
      </c>
      <c r="B5" s="118">
        <v>35567.4</v>
      </c>
      <c r="C5" s="119">
        <v>0.43459999999999999</v>
      </c>
      <c r="D5" s="119">
        <v>4.8219999999999999E-2</v>
      </c>
      <c r="E5"/>
      <c r="F5" s="121" t="s">
        <v>29</v>
      </c>
      <c r="G5" s="118">
        <v>5029</v>
      </c>
      <c r="H5" s="118">
        <v>4197</v>
      </c>
      <c r="I5" s="120">
        <v>0.83455955458341624</v>
      </c>
      <c r="J5" s="129"/>
      <c r="K5" s="120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</row>
    <row r="6" spans="1:248" x14ac:dyDescent="0.25">
      <c r="A6" s="121" t="s">
        <v>81</v>
      </c>
      <c r="B6" s="118">
        <v>15889</v>
      </c>
      <c r="C6" s="119">
        <v>0.43200000000000005</v>
      </c>
      <c r="D6" s="119">
        <v>3.8600000000000002E-2</v>
      </c>
      <c r="E6"/>
      <c r="F6" s="121" t="s">
        <v>47</v>
      </c>
      <c r="G6" s="118">
        <v>2363</v>
      </c>
      <c r="H6" s="118">
        <v>1738</v>
      </c>
      <c r="I6" s="120">
        <v>0.73550571307659751</v>
      </c>
      <c r="J6" s="129"/>
      <c r="K6" s="120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</row>
    <row r="7" spans="1:248" x14ac:dyDescent="0.25">
      <c r="A7" s="121" t="s">
        <v>47</v>
      </c>
      <c r="B7" s="118">
        <v>35191.4</v>
      </c>
      <c r="C7" s="119">
        <v>0.43180000000000007</v>
      </c>
      <c r="D7" s="119">
        <v>4.1460000000000011E-2</v>
      </c>
      <c r="E7"/>
      <c r="F7" s="121" t="s">
        <v>56</v>
      </c>
      <c r="G7" s="118">
        <v>1517</v>
      </c>
      <c r="H7" s="118">
        <v>2142</v>
      </c>
      <c r="I7" s="120">
        <v>1.4119973632168754</v>
      </c>
      <c r="J7" s="129"/>
      <c r="K7" s="120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</row>
    <row r="8" spans="1:248" x14ac:dyDescent="0.25">
      <c r="A8" s="121" t="s">
        <v>29</v>
      </c>
      <c r="B8" s="118">
        <v>99203.199999999997</v>
      </c>
      <c r="C8" s="119">
        <v>0.4284</v>
      </c>
      <c r="D8" s="119">
        <v>4.3820000000000005E-2</v>
      </c>
      <c r="E8"/>
      <c r="F8" s="121" t="s">
        <v>41</v>
      </c>
      <c r="G8" s="118">
        <v>1181</v>
      </c>
      <c r="H8" s="118">
        <v>1395</v>
      </c>
      <c r="I8" s="120">
        <v>1.1812023708721422</v>
      </c>
      <c r="J8" s="129"/>
      <c r="K8" s="120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</row>
    <row r="9" spans="1:248" x14ac:dyDescent="0.25">
      <c r="A9" s="121" t="s">
        <v>45</v>
      </c>
      <c r="B9" s="118">
        <v>4046</v>
      </c>
      <c r="C9" s="119">
        <v>0.37592000000000003</v>
      </c>
      <c r="D9" s="119">
        <v>4.0059999999999998E-2</v>
      </c>
      <c r="E9"/>
      <c r="F9" s="121" t="s">
        <v>45</v>
      </c>
      <c r="G9" s="118">
        <v>867</v>
      </c>
      <c r="H9" s="118">
        <v>636</v>
      </c>
      <c r="I9" s="120">
        <v>0.73356401384083048</v>
      </c>
      <c r="J9" s="129"/>
      <c r="K9" s="120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</row>
    <row r="10" spans="1:248" x14ac:dyDescent="0.25">
      <c r="A10" s="121" t="s">
        <v>75</v>
      </c>
      <c r="B10" s="118">
        <v>13582.6</v>
      </c>
      <c r="C10" s="119">
        <v>0.37547999999999998</v>
      </c>
      <c r="D10" s="119">
        <v>3.5900000000000001E-2</v>
      </c>
      <c r="E10"/>
      <c r="F10" s="121" t="s">
        <v>75</v>
      </c>
      <c r="G10" s="118">
        <v>676</v>
      </c>
      <c r="H10" s="118">
        <v>565</v>
      </c>
      <c r="I10" s="120">
        <v>0.83579881656804733</v>
      </c>
      <c r="J10" s="129"/>
      <c r="K10" s="120" t="s">
        <v>102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</row>
    <row r="11" spans="1:248" x14ac:dyDescent="0.25">
      <c r="A11" s="121" t="s">
        <v>35</v>
      </c>
      <c r="B11" s="118">
        <v>22270</v>
      </c>
      <c r="C11" s="119">
        <v>0.31779999999999997</v>
      </c>
      <c r="D11" s="119">
        <v>2.17392E-2</v>
      </c>
      <c r="E11"/>
      <c r="F11" s="121" t="s">
        <v>81</v>
      </c>
      <c r="G11" s="118">
        <v>582</v>
      </c>
      <c r="H11" s="118">
        <v>360</v>
      </c>
      <c r="I11" s="120">
        <v>0.61855670103092786</v>
      </c>
      <c r="J11" s="129"/>
      <c r="K11" s="120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</row>
    <row r="12" spans="1:248" x14ac:dyDescent="0.25">
      <c r="A12" s="121" t="s">
        <v>41</v>
      </c>
      <c r="B12" s="118">
        <v>6458.8</v>
      </c>
      <c r="C12" s="151">
        <v>0.28999999999999998</v>
      </c>
      <c r="D12" s="119">
        <v>4.8919999999999991E-2</v>
      </c>
      <c r="E12"/>
      <c r="F12" s="121" t="s">
        <v>63</v>
      </c>
      <c r="G12" s="118">
        <v>530</v>
      </c>
      <c r="H12" s="118">
        <v>509</v>
      </c>
      <c r="I12" s="120">
        <v>0.96037735849056605</v>
      </c>
      <c r="J12" s="129"/>
      <c r="K12" s="120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</row>
    <row r="13" spans="1:248" x14ac:dyDescent="0.25">
      <c r="A13" s="121" t="s">
        <v>56</v>
      </c>
      <c r="B13" s="118">
        <v>22162.333333333332</v>
      </c>
      <c r="C13" s="119">
        <v>0.18675</v>
      </c>
      <c r="D13" s="119">
        <v>3.6240000000000008E-2</v>
      </c>
      <c r="E13"/>
      <c r="F13" s="121" t="s">
        <v>69</v>
      </c>
      <c r="G13" s="118">
        <v>487</v>
      </c>
      <c r="H13" s="118">
        <v>378</v>
      </c>
      <c r="I13" s="120">
        <v>0.77618069815195068</v>
      </c>
      <c r="J13" s="129"/>
      <c r="K13" s="120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</row>
    <row r="14" spans="1:248" x14ac:dyDescent="0.25">
      <c r="A14" s="112" t="s">
        <v>87</v>
      </c>
      <c r="B14" s="118">
        <v>31269.645833333332</v>
      </c>
      <c r="C14" s="119">
        <v>0.37510204081632664</v>
      </c>
      <c r="D14" s="119">
        <v>4.1535919999999997E-2</v>
      </c>
      <c r="E14"/>
      <c r="F14" s="121" t="s">
        <v>87</v>
      </c>
      <c r="G14" s="118">
        <v>18265</v>
      </c>
      <c r="H14" s="118">
        <v>14872</v>
      </c>
      <c r="I14" s="120">
        <v>0.81423487544483986</v>
      </c>
      <c r="J14" s="129"/>
      <c r="K14" s="120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</row>
    <row r="15" spans="1:248" x14ac:dyDescent="0.25">
      <c r="A15" s="112"/>
      <c r="B15" s="118"/>
      <c r="C15" s="119"/>
      <c r="D15" s="119"/>
      <c r="E15"/>
      <c r="F15" s="121"/>
      <c r="G15" s="118"/>
      <c r="H15" s="118"/>
      <c r="I15" s="120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</row>
    <row r="16" spans="1:248" x14ac:dyDescent="0.25">
      <c r="A16" s="112"/>
      <c r="B16" s="118"/>
      <c r="C16" s="119"/>
      <c r="D16" s="119"/>
      <c r="E16"/>
      <c r="F16" s="121"/>
      <c r="G16" s="118"/>
      <c r="H16" s="118"/>
      <c r="I16" s="120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</row>
    <row r="17" spans="1:248" x14ac:dyDescent="0.25">
      <c r="A17" s="112"/>
      <c r="B17" s="118"/>
      <c r="C17" s="119"/>
      <c r="D17" s="119"/>
      <c r="E17"/>
      <c r="F17" s="121"/>
      <c r="G17" s="118"/>
      <c r="H17" s="118"/>
      <c r="I17" s="120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</row>
    <row r="18" spans="1:248" x14ac:dyDescent="0.25">
      <c r="A18" s="112"/>
      <c r="B18" s="118"/>
      <c r="C18" s="119"/>
      <c r="D18" s="119"/>
      <c r="E18"/>
      <c r="F18" s="121"/>
      <c r="G18" s="118"/>
      <c r="H18" s="118"/>
      <c r="I18" s="120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</row>
    <row r="19" spans="1:248" x14ac:dyDescent="0.25">
      <c r="A19" s="112"/>
      <c r="B19" s="118"/>
      <c r="C19" s="119"/>
      <c r="D19" s="119"/>
      <c r="E19"/>
      <c r="F19" s="121"/>
      <c r="G19" s="118"/>
      <c r="H19" s="118"/>
      <c r="I19" s="120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</row>
    <row r="20" spans="1:248" x14ac:dyDescent="0.25">
      <c r="A20" s="112"/>
      <c r="B20" s="118"/>
      <c r="C20" s="119"/>
      <c r="D20" s="119"/>
      <c r="E20"/>
      <c r="F20" s="121"/>
      <c r="G20" s="118"/>
      <c r="H20" s="118"/>
      <c r="I20" s="1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</row>
    <row r="21" spans="1:248" x14ac:dyDescent="0.25">
      <c r="A21" s="112"/>
      <c r="B21" s="118"/>
      <c r="C21" s="119"/>
      <c r="D21" s="119"/>
      <c r="E21"/>
      <c r="F21" s="121"/>
      <c r="G21" s="118"/>
      <c r="H21" s="118"/>
      <c r="I21" s="120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</row>
    <row r="22" spans="1:248" x14ac:dyDescent="0.25">
      <c r="A22" s="112"/>
      <c r="B22" s="118"/>
      <c r="C22" s="119"/>
      <c r="D22" s="119"/>
      <c r="E22"/>
      <c r="F22" s="121"/>
      <c r="G22" s="118"/>
      <c r="H22" s="118"/>
      <c r="I22" s="120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</row>
    <row r="23" spans="1:248" x14ac:dyDescent="0.25">
      <c r="A23" s="112"/>
      <c r="B23" s="118"/>
      <c r="C23" s="119"/>
      <c r="D23" s="119"/>
      <c r="E23"/>
      <c r="F23" s="121"/>
      <c r="G23" s="118"/>
      <c r="H23" s="118"/>
      <c r="I23" s="120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</row>
    <row r="24" spans="1:248" x14ac:dyDescent="0.25">
      <c r="A24" s="112"/>
      <c r="B24" s="118"/>
      <c r="C24" s="119"/>
      <c r="D24" s="119"/>
      <c r="E24"/>
      <c r="F24" s="121"/>
      <c r="G24" s="118"/>
      <c r="H24" s="118"/>
      <c r="I24" s="120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</row>
    <row r="25" spans="1:248" x14ac:dyDescent="0.25">
      <c r="A25" s="112"/>
      <c r="B25" s="118"/>
      <c r="C25" s="119"/>
      <c r="D25" s="119"/>
      <c r="E25"/>
      <c r="F25" s="121"/>
      <c r="G25" s="118"/>
      <c r="H25" s="118"/>
      <c r="I25" s="120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</row>
    <row r="26" spans="1:248" x14ac:dyDescent="0.25">
      <c r="A26" s="112"/>
      <c r="B26" s="118"/>
      <c r="C26" s="119"/>
      <c r="D26" s="119"/>
      <c r="E26"/>
      <c r="F26" s="121"/>
      <c r="G26" s="118"/>
      <c r="H26" s="118"/>
      <c r="I26" s="120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</row>
    <row r="27" spans="1:248" x14ac:dyDescent="0.25">
      <c r="A27" s="112"/>
      <c r="B27" s="118"/>
      <c r="C27" s="119"/>
      <c r="D27" s="119"/>
      <c r="E27"/>
      <c r="F27" s="121"/>
      <c r="G27" s="118"/>
      <c r="H27" s="118"/>
      <c r="I27" s="120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</row>
    <row r="28" spans="1:248" x14ac:dyDescent="0.25">
      <c r="A28" s="112"/>
      <c r="B28" s="118"/>
      <c r="C28" s="119"/>
      <c r="D28" s="119"/>
      <c r="E28"/>
      <c r="F28" s="121"/>
      <c r="G28" s="118"/>
      <c r="H28" s="118"/>
      <c r="I28" s="120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</row>
    <row r="29" spans="1:248" x14ac:dyDescent="0.25">
      <c r="A29" s="112"/>
      <c r="B29" s="118"/>
      <c r="C29" s="119"/>
      <c r="D29" s="119"/>
      <c r="E29"/>
      <c r="F29" s="121"/>
      <c r="G29" s="118"/>
      <c r="H29" s="118"/>
      <c r="I29" s="120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</row>
    <row r="30" spans="1:248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</row>
    <row r="31" spans="1:248" x14ac:dyDescent="0.25">
      <c r="A31"/>
      <c r="B31"/>
      <c r="C31"/>
      <c r="D31"/>
      <c r="E31"/>
      <c r="F31"/>
      <c r="G31"/>
      <c r="H31"/>
      <c r="I31" s="139"/>
      <c r="J31" s="139">
        <f>4197/5029-1</f>
        <v>-0.16544044541658376</v>
      </c>
      <c r="K31" s="139">
        <f>1738/2363-1</f>
        <v>-0.26449428692340249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</row>
    <row r="32" spans="1:248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</row>
    <row r="33" spans="1:31" x14ac:dyDescent="0.25">
      <c r="G33" s="142" t="s">
        <v>9</v>
      </c>
      <c r="H33" s="141" t="s">
        <v>93</v>
      </c>
      <c r="I33" s="141" t="s">
        <v>94</v>
      </c>
      <c r="J33" s="141" t="s">
        <v>99</v>
      </c>
      <c r="K33" s="141" t="s">
        <v>95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x14ac:dyDescent="0.25">
      <c r="G34" s="141" t="s">
        <v>81</v>
      </c>
      <c r="H34" s="140">
        <v>278</v>
      </c>
      <c r="I34" s="140">
        <v>87</v>
      </c>
      <c r="J34" s="140">
        <v>54</v>
      </c>
      <c r="K34" s="140">
        <v>163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x14ac:dyDescent="0.25">
      <c r="G35" s="141" t="s">
        <v>56</v>
      </c>
      <c r="H35" s="140">
        <v>1158</v>
      </c>
      <c r="I35" s="140">
        <v>202</v>
      </c>
      <c r="J35" s="140">
        <v>40</v>
      </c>
      <c r="K35" s="140">
        <v>117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x14ac:dyDescent="0.25">
      <c r="G36" s="141" t="s">
        <v>35</v>
      </c>
      <c r="H36" s="140">
        <v>4773</v>
      </c>
      <c r="I36" s="140">
        <v>109</v>
      </c>
      <c r="J36" s="140">
        <v>51</v>
      </c>
      <c r="K36" s="140">
        <v>100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x14ac:dyDescent="0.25">
      <c r="G37" s="141" t="s">
        <v>45</v>
      </c>
      <c r="H37" s="140">
        <v>574</v>
      </c>
      <c r="I37" s="140">
        <v>167</v>
      </c>
      <c r="J37" s="140">
        <v>48</v>
      </c>
      <c r="K37" s="140">
        <v>78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x14ac:dyDescent="0.25">
      <c r="G38" s="141" t="s">
        <v>63</v>
      </c>
      <c r="H38" s="140">
        <v>313</v>
      </c>
      <c r="I38" s="140">
        <v>115</v>
      </c>
      <c r="J38" s="140">
        <v>25</v>
      </c>
      <c r="K38" s="140">
        <v>77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x14ac:dyDescent="0.25">
      <c r="G39" s="141" t="s">
        <v>69</v>
      </c>
      <c r="H39" s="140">
        <v>294</v>
      </c>
      <c r="I39" s="140">
        <v>90</v>
      </c>
      <c r="J39" s="140">
        <v>41</v>
      </c>
      <c r="K39" s="140">
        <v>62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0" spans="1:31" x14ac:dyDescent="0.25">
      <c r="G40" s="141" t="s">
        <v>29</v>
      </c>
      <c r="H40" s="140">
        <v>4863</v>
      </c>
      <c r="I40" s="140">
        <v>92</v>
      </c>
      <c r="J40" s="140">
        <v>19</v>
      </c>
      <c r="K40" s="140">
        <v>55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</row>
    <row r="41" spans="1:31" x14ac:dyDescent="0.25">
      <c r="G41" s="141" t="s">
        <v>75</v>
      </c>
      <c r="H41" s="140">
        <v>327</v>
      </c>
      <c r="I41" s="140">
        <v>275</v>
      </c>
      <c r="J41" s="140">
        <v>32</v>
      </c>
      <c r="K41" s="140">
        <v>42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 spans="1:31" x14ac:dyDescent="0.25">
      <c r="G42" s="141" t="s">
        <v>41</v>
      </c>
      <c r="H42" s="140">
        <v>946</v>
      </c>
      <c r="I42" s="140">
        <v>172</v>
      </c>
      <c r="J42" s="140">
        <v>23</v>
      </c>
      <c r="K42" s="140">
        <v>40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1" x14ac:dyDescent="0.25">
      <c r="A43" s="142" t="s">
        <v>9</v>
      </c>
      <c r="B43" s="141" t="s">
        <v>98</v>
      </c>
      <c r="C43" s="141" t="s">
        <v>91</v>
      </c>
      <c r="D43" s="141" t="s">
        <v>90</v>
      </c>
      <c r="E43" s="141" t="s">
        <v>92</v>
      </c>
      <c r="G43" s="141" t="s">
        <v>47</v>
      </c>
      <c r="H43" s="140">
        <v>2248</v>
      </c>
      <c r="I43" s="140">
        <v>48</v>
      </c>
      <c r="J43" s="140">
        <v>32</v>
      </c>
      <c r="K43" s="140">
        <v>35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31" x14ac:dyDescent="0.25">
      <c r="A44" s="141" t="s">
        <v>35</v>
      </c>
      <c r="B44" s="140">
        <v>2814</v>
      </c>
      <c r="C44" s="140">
        <v>57</v>
      </c>
      <c r="D44" s="140">
        <v>31</v>
      </c>
      <c r="E44" s="140">
        <v>50</v>
      </c>
      <c r="G44" s="141" t="s">
        <v>87</v>
      </c>
      <c r="H44" s="140">
        <v>15774</v>
      </c>
      <c r="I44" s="140">
        <v>1357</v>
      </c>
      <c r="J44" s="140">
        <v>365</v>
      </c>
      <c r="K44" s="140">
        <v>769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31" x14ac:dyDescent="0.25">
      <c r="A45" s="141" t="s">
        <v>41</v>
      </c>
      <c r="B45" s="140">
        <v>1154</v>
      </c>
      <c r="C45" s="140">
        <v>205</v>
      </c>
      <c r="D45" s="140">
        <v>16</v>
      </c>
      <c r="E45" s="140">
        <v>20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31" x14ac:dyDescent="0.25">
      <c r="A46" s="141" t="s">
        <v>75</v>
      </c>
      <c r="B46" s="140">
        <v>284</v>
      </c>
      <c r="C46" s="140">
        <v>218</v>
      </c>
      <c r="D46" s="140">
        <v>24</v>
      </c>
      <c r="E46" s="140">
        <v>39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31" x14ac:dyDescent="0.25">
      <c r="A47" s="141" t="s">
        <v>45</v>
      </c>
      <c r="B47" s="140">
        <v>459</v>
      </c>
      <c r="C47" s="140">
        <v>124</v>
      </c>
      <c r="D47" s="140">
        <v>23</v>
      </c>
      <c r="E47" s="140">
        <v>30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31" x14ac:dyDescent="0.25">
      <c r="A48" s="141" t="s">
        <v>29</v>
      </c>
      <c r="B48" s="140">
        <v>4069</v>
      </c>
      <c r="C48" s="140">
        <v>77</v>
      </c>
      <c r="D48" s="140">
        <v>16</v>
      </c>
      <c r="E48" s="140">
        <v>35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x14ac:dyDescent="0.25">
      <c r="A49" s="141" t="s">
        <v>56</v>
      </c>
      <c r="B49" s="140">
        <v>1825</v>
      </c>
      <c r="C49" s="140">
        <v>240</v>
      </c>
      <c r="D49" s="140">
        <v>30</v>
      </c>
      <c r="E49" s="140">
        <v>47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x14ac:dyDescent="0.25">
      <c r="A50" s="141" t="s">
        <v>63</v>
      </c>
      <c r="B50" s="140">
        <v>375</v>
      </c>
      <c r="C50" s="140">
        <v>69</v>
      </c>
      <c r="D50" s="140">
        <v>21</v>
      </c>
      <c r="E50" s="140">
        <v>44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x14ac:dyDescent="0.25">
      <c r="A51" s="141" t="s">
        <v>81</v>
      </c>
      <c r="B51" s="140">
        <v>197</v>
      </c>
      <c r="C51" s="140">
        <v>55</v>
      </c>
      <c r="D51" s="140">
        <v>31</v>
      </c>
      <c r="E51" s="140">
        <v>77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x14ac:dyDescent="0.25">
      <c r="A52" s="141" t="s">
        <v>47</v>
      </c>
      <c r="B52" s="140">
        <v>1682</v>
      </c>
      <c r="C52" s="140">
        <v>16</v>
      </c>
      <c r="D52" s="140">
        <v>16</v>
      </c>
      <c r="E52" s="140">
        <v>24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x14ac:dyDescent="0.25">
      <c r="A53" s="141" t="s">
        <v>69</v>
      </c>
      <c r="B53" s="140">
        <v>264</v>
      </c>
      <c r="C53" s="140">
        <v>70</v>
      </c>
      <c r="D53" s="140">
        <v>18</v>
      </c>
      <c r="E53" s="140">
        <v>26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x14ac:dyDescent="0.25">
      <c r="A54" s="141" t="s">
        <v>87</v>
      </c>
      <c r="B54" s="140">
        <v>13123</v>
      </c>
      <c r="C54" s="140">
        <v>1131</v>
      </c>
      <c r="D54" s="140">
        <v>226</v>
      </c>
      <c r="E54" s="140">
        <v>392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1:3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1:3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1:3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1:3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1:3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1:3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1:3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1:3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1:3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:3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:3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1:3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:3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1:3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1:3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1:31" x14ac:dyDescent="0.25">
      <c r="A72"/>
      <c r="B72"/>
      <c r="C72"/>
      <c r="D72"/>
    </row>
    <row r="73" spans="1:31" x14ac:dyDescent="0.25">
      <c r="A73"/>
      <c r="B73"/>
      <c r="C73"/>
      <c r="D73"/>
    </row>
    <row r="74" spans="1:31" x14ac:dyDescent="0.25">
      <c r="A74"/>
      <c r="B74"/>
      <c r="C74"/>
      <c r="D74"/>
    </row>
    <row r="75" spans="1:31" x14ac:dyDescent="0.25">
      <c r="A75"/>
      <c r="B75"/>
      <c r="C75"/>
      <c r="D75"/>
    </row>
    <row r="76" spans="1:31" x14ac:dyDescent="0.25">
      <c r="A76"/>
      <c r="B76"/>
      <c r="C76"/>
      <c r="D76"/>
    </row>
    <row r="77" spans="1:31" x14ac:dyDescent="0.25">
      <c r="A77"/>
      <c r="B77"/>
      <c r="C77"/>
      <c r="D77"/>
    </row>
    <row r="78" spans="1:31" x14ac:dyDescent="0.25">
      <c r="A78"/>
      <c r="B78"/>
      <c r="C78"/>
      <c r="D78"/>
    </row>
    <row r="79" spans="1:31" x14ac:dyDescent="0.25">
      <c r="A79"/>
      <c r="B79"/>
      <c r="C79"/>
      <c r="D79"/>
    </row>
    <row r="80" spans="1:31" x14ac:dyDescent="0.25">
      <c r="A80"/>
      <c r="B80"/>
      <c r="C80"/>
      <c r="D80"/>
    </row>
    <row r="81" spans="1:4" x14ac:dyDescent="0.25">
      <c r="A81"/>
      <c r="B81"/>
      <c r="C81"/>
      <c r="D81"/>
    </row>
    <row r="82" spans="1:4" x14ac:dyDescent="0.25">
      <c r="A82"/>
      <c r="B82"/>
      <c r="C82"/>
      <c r="D82"/>
    </row>
    <row r="83" spans="1:4" x14ac:dyDescent="0.25">
      <c r="A83"/>
      <c r="B83"/>
      <c r="C83"/>
      <c r="D83"/>
    </row>
    <row r="84" spans="1:4" x14ac:dyDescent="0.25">
      <c r="A84"/>
      <c r="B84"/>
      <c r="C84"/>
      <c r="D84"/>
    </row>
    <row r="85" spans="1:4" x14ac:dyDescent="0.25">
      <c r="A85"/>
      <c r="B85"/>
      <c r="C85"/>
      <c r="D85"/>
    </row>
    <row r="86" spans="1:4" x14ac:dyDescent="0.25">
      <c r="A86"/>
      <c r="B86"/>
      <c r="C86"/>
      <c r="D86"/>
    </row>
    <row r="87" spans="1:4" x14ac:dyDescent="0.25">
      <c r="A87"/>
      <c r="B87"/>
      <c r="C87"/>
      <c r="D87"/>
    </row>
    <row r="88" spans="1:4" x14ac:dyDescent="0.25">
      <c r="A88"/>
      <c r="B88"/>
      <c r="C88"/>
      <c r="D88"/>
    </row>
    <row r="89" spans="1:4" x14ac:dyDescent="0.25">
      <c r="A89"/>
      <c r="B89"/>
      <c r="C89"/>
      <c r="D89"/>
    </row>
    <row r="90" spans="1:4" x14ac:dyDescent="0.25">
      <c r="A90"/>
      <c r="B90"/>
      <c r="C90"/>
      <c r="D90"/>
    </row>
    <row r="91" spans="1:4" x14ac:dyDescent="0.25">
      <c r="A91"/>
      <c r="B91"/>
      <c r="C91"/>
      <c r="D91"/>
    </row>
    <row r="92" spans="1:4" x14ac:dyDescent="0.25">
      <c r="A92"/>
      <c r="B92"/>
      <c r="C92"/>
      <c r="D92"/>
    </row>
    <row r="93" spans="1:4" x14ac:dyDescent="0.25">
      <c r="A93"/>
      <c r="B93"/>
      <c r="C93"/>
      <c r="D93"/>
    </row>
    <row r="94" spans="1:4" x14ac:dyDescent="0.25">
      <c r="A94"/>
      <c r="B94"/>
      <c r="C94"/>
      <c r="D94"/>
    </row>
    <row r="95" spans="1:4" x14ac:dyDescent="0.25">
      <c r="A95"/>
      <c r="B95"/>
      <c r="C95"/>
      <c r="D95"/>
    </row>
    <row r="96" spans="1:4" x14ac:dyDescent="0.25">
      <c r="A96"/>
      <c r="B96"/>
      <c r="C96"/>
      <c r="D96"/>
    </row>
    <row r="97" spans="1:4" x14ac:dyDescent="0.25">
      <c r="A97"/>
      <c r="B97"/>
      <c r="C97"/>
      <c r="D97"/>
    </row>
    <row r="98" spans="1:4" x14ac:dyDescent="0.25">
      <c r="A98"/>
      <c r="B98"/>
      <c r="C98"/>
      <c r="D98"/>
    </row>
    <row r="99" spans="1:4" x14ac:dyDescent="0.25">
      <c r="A99"/>
      <c r="B99"/>
      <c r="C99"/>
      <c r="D99"/>
    </row>
    <row r="100" spans="1:4" x14ac:dyDescent="0.25">
      <c r="A100"/>
      <c r="B100"/>
      <c r="C100"/>
      <c r="D100"/>
    </row>
    <row r="101" spans="1:4" x14ac:dyDescent="0.25">
      <c r="A101"/>
      <c r="B101"/>
      <c r="C101"/>
      <c r="D101"/>
    </row>
    <row r="102" spans="1:4" x14ac:dyDescent="0.25">
      <c r="A102"/>
      <c r="B102"/>
      <c r="C102"/>
      <c r="D102"/>
    </row>
    <row r="103" spans="1:4" x14ac:dyDescent="0.25">
      <c r="A103"/>
      <c r="B103"/>
      <c r="C103"/>
      <c r="D103"/>
    </row>
    <row r="104" spans="1:4" x14ac:dyDescent="0.25">
      <c r="A104"/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/>
      <c r="B106"/>
      <c r="C106"/>
      <c r="D106"/>
    </row>
    <row r="107" spans="1:4" x14ac:dyDescent="0.25">
      <c r="A107"/>
      <c r="B107"/>
      <c r="C107"/>
      <c r="D107"/>
    </row>
    <row r="108" spans="1:4" x14ac:dyDescent="0.25">
      <c r="A108"/>
      <c r="B108"/>
      <c r="C108"/>
      <c r="D108"/>
    </row>
    <row r="109" spans="1:4" x14ac:dyDescent="0.25">
      <c r="A109"/>
      <c r="B109"/>
      <c r="C109"/>
      <c r="D109"/>
    </row>
    <row r="110" spans="1:4" x14ac:dyDescent="0.25">
      <c r="A110"/>
      <c r="B110"/>
      <c r="C110"/>
      <c r="D110"/>
    </row>
    <row r="111" spans="1:4" x14ac:dyDescent="0.25">
      <c r="A111"/>
      <c r="B111"/>
      <c r="C111"/>
      <c r="D111"/>
    </row>
    <row r="112" spans="1:4" x14ac:dyDescent="0.25">
      <c r="A112"/>
      <c r="B112"/>
      <c r="C112"/>
      <c r="D112"/>
    </row>
    <row r="113" spans="1:4" x14ac:dyDescent="0.25">
      <c r="A113"/>
      <c r="B113"/>
      <c r="C113"/>
      <c r="D113"/>
    </row>
    <row r="114" spans="1:4" x14ac:dyDescent="0.25">
      <c r="A114"/>
      <c r="B114"/>
      <c r="C114"/>
      <c r="D114"/>
    </row>
    <row r="115" spans="1:4" x14ac:dyDescent="0.25">
      <c r="A115"/>
      <c r="B115"/>
      <c r="C115"/>
      <c r="D115"/>
    </row>
    <row r="116" spans="1:4" x14ac:dyDescent="0.25">
      <c r="A116"/>
      <c r="B116"/>
      <c r="C116"/>
      <c r="D116"/>
    </row>
    <row r="117" spans="1:4" x14ac:dyDescent="0.25">
      <c r="A117"/>
      <c r="B117"/>
      <c r="C117"/>
      <c r="D117"/>
    </row>
    <row r="118" spans="1:4" x14ac:dyDescent="0.25">
      <c r="A118"/>
      <c r="B118"/>
      <c r="C118"/>
      <c r="D118"/>
    </row>
    <row r="119" spans="1:4" x14ac:dyDescent="0.25">
      <c r="A119"/>
      <c r="B119"/>
      <c r="C119"/>
      <c r="D119"/>
    </row>
  </sheetData>
  <conditionalFormatting pivot="1" sqref="C4:C13">
    <cfRule type="colorScale" priority="6">
      <colorScale>
        <cfvo type="min"/>
        <cfvo type="percentile" val="31.5"/>
        <cfvo type="max"/>
        <color rgb="FFFF0000"/>
        <color theme="6" tint="0.59999389629810485"/>
        <color theme="7"/>
      </colorScale>
    </cfRule>
  </conditionalFormatting>
  <conditionalFormatting pivot="1" sqref="D4:D13">
    <cfRule type="colorScale" priority="5">
      <colorScale>
        <cfvo type="min"/>
        <cfvo type="num" val="4"/>
        <cfvo type="max"/>
        <color theme="7"/>
        <color rgb="FFFFEB84"/>
        <color rgb="FFC00000"/>
      </colorScale>
    </cfRule>
  </conditionalFormatting>
  <conditionalFormatting pivot="1" sqref="I4:I13">
    <cfRule type="colorScale" priority="1">
      <colorScale>
        <cfvo type="num" val="0.59"/>
        <cfvo type="num" val="1.41"/>
        <color rgb="FF63BE7B"/>
        <color rgb="FFFFEF9C"/>
      </colorScale>
    </cfRule>
  </conditionalFormatting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BE4C-5C33-4A2E-A57F-ACE4A6B56979}">
  <sheetPr codeName="Hoja3"/>
  <dimension ref="A2:D45"/>
  <sheetViews>
    <sheetView showGridLines="0" topLeftCell="A34" zoomScale="110" zoomScaleNormal="110" workbookViewId="0">
      <selection activeCell="M6" sqref="M6"/>
    </sheetView>
  </sheetViews>
  <sheetFormatPr baseColWidth="10" defaultRowHeight="13.2" x14ac:dyDescent="0.25"/>
  <cols>
    <col min="1" max="1" width="14.77734375" bestFit="1" customWidth="1"/>
    <col min="2" max="2" width="22.77734375" bestFit="1" customWidth="1"/>
    <col min="3" max="3" width="15" bestFit="1" customWidth="1"/>
    <col min="4" max="4" width="14.5546875" bestFit="1" customWidth="1"/>
  </cols>
  <sheetData>
    <row r="2" spans="1:4" ht="15" x14ac:dyDescent="0.25">
      <c r="A2" s="111"/>
      <c r="B2" s="111"/>
      <c r="C2" s="3"/>
      <c r="D2" s="3"/>
    </row>
    <row r="3" spans="1:4" ht="15" x14ac:dyDescent="0.25">
      <c r="A3" s="3"/>
      <c r="B3" s="3"/>
      <c r="C3" s="3"/>
      <c r="D3" s="3"/>
    </row>
    <row r="41" spans="4:4" x14ac:dyDescent="0.25">
      <c r="D41" s="144"/>
    </row>
    <row r="42" spans="4:4" x14ac:dyDescent="0.25">
      <c r="D42" s="144"/>
    </row>
    <row r="43" spans="4:4" x14ac:dyDescent="0.25">
      <c r="D43" s="144"/>
    </row>
    <row r="44" spans="4:4" x14ac:dyDescent="0.25">
      <c r="D44" s="144"/>
    </row>
    <row r="45" spans="4:4" x14ac:dyDescent="0.25">
      <c r="D45" s="14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City Research</vt:lpstr>
      <vt:lpstr>City Research (2)</vt:lpstr>
      <vt:lpstr>Pivot Tables</vt:lpstr>
      <vt:lpstr>Top 3 Counties for 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 Rojas</dc:creator>
  <cp:lastModifiedBy>Camilo Garcia Rojas</cp:lastModifiedBy>
  <dcterms:created xsi:type="dcterms:W3CDTF">2024-07-08T01:12:44Z</dcterms:created>
  <dcterms:modified xsi:type="dcterms:W3CDTF">2024-07-10T14:21:21Z</dcterms:modified>
</cp:coreProperties>
</file>